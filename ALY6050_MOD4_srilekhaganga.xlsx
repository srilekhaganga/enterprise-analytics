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Y6050-enterprise analytics\"/>
    </mc:Choice>
  </mc:AlternateContent>
  <xr:revisionPtr revIDLastSave="0" documentId="13_ncr:1_{75761C9B-9504-4B30-A9D2-B13A6679A525}" xr6:coauthVersionLast="47" xr6:coauthVersionMax="47" xr10:uidLastSave="{00000000-0000-0000-0000-000000000000}"/>
  <bookViews>
    <workbookView xWindow="-110" yWindow="-110" windowWidth="19420" windowHeight="10300" xr2:uid="{1AE54F7C-320D-4F72-B6AE-CF4349B27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1" l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5" i="1"/>
  <c r="AD3" i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C3" i="1"/>
  <c r="AA3" i="1"/>
  <c r="S2" i="1"/>
  <c r="O72" i="1"/>
  <c r="L72" i="1"/>
  <c r="M72" i="1" s="1"/>
  <c r="N72" i="1" s="1"/>
  <c r="P72" i="1" s="1"/>
  <c r="O71" i="1"/>
  <c r="L71" i="1"/>
  <c r="M71" i="1" s="1"/>
  <c r="N71" i="1" s="1"/>
  <c r="P71" i="1" s="1"/>
  <c r="O70" i="1"/>
  <c r="L70" i="1"/>
  <c r="M70" i="1" s="1"/>
  <c r="N70" i="1" s="1"/>
  <c r="P70" i="1" s="1"/>
  <c r="O69" i="1"/>
  <c r="L69" i="1"/>
  <c r="M69" i="1" s="1"/>
  <c r="N69" i="1" s="1"/>
  <c r="P69" i="1" s="1"/>
  <c r="O68" i="1"/>
  <c r="M68" i="1"/>
  <c r="N68" i="1" s="1"/>
  <c r="P68" i="1" s="1"/>
  <c r="L68" i="1"/>
  <c r="O67" i="1"/>
  <c r="M67" i="1"/>
  <c r="N67" i="1" s="1"/>
  <c r="P67" i="1" s="1"/>
  <c r="L67" i="1"/>
  <c r="O66" i="1"/>
  <c r="M66" i="1"/>
  <c r="N66" i="1" s="1"/>
  <c r="P66" i="1" s="1"/>
  <c r="L66" i="1"/>
  <c r="O65" i="1"/>
  <c r="L65" i="1"/>
  <c r="M65" i="1" s="1"/>
  <c r="N65" i="1" s="1"/>
  <c r="P65" i="1" s="1"/>
  <c r="O64" i="1"/>
  <c r="L64" i="1"/>
  <c r="M64" i="1" s="1"/>
  <c r="N64" i="1" s="1"/>
  <c r="P64" i="1" s="1"/>
  <c r="O63" i="1"/>
  <c r="L63" i="1"/>
  <c r="M63" i="1" s="1"/>
  <c r="N63" i="1" s="1"/>
  <c r="P63" i="1" s="1"/>
  <c r="O62" i="1"/>
  <c r="L62" i="1"/>
  <c r="M62" i="1" s="1"/>
  <c r="N62" i="1" s="1"/>
  <c r="P62" i="1" s="1"/>
  <c r="O61" i="1"/>
  <c r="L61" i="1"/>
  <c r="M61" i="1" s="1"/>
  <c r="N61" i="1" s="1"/>
  <c r="P61" i="1" s="1"/>
  <c r="O60" i="1"/>
  <c r="M60" i="1"/>
  <c r="N60" i="1" s="1"/>
  <c r="P60" i="1" s="1"/>
  <c r="L60" i="1"/>
  <c r="O59" i="1"/>
  <c r="M59" i="1"/>
  <c r="N59" i="1" s="1"/>
  <c r="P59" i="1" s="1"/>
  <c r="L59" i="1"/>
  <c r="O58" i="1"/>
  <c r="M58" i="1"/>
  <c r="N58" i="1" s="1"/>
  <c r="P58" i="1" s="1"/>
  <c r="L58" i="1"/>
  <c r="O57" i="1"/>
  <c r="L57" i="1"/>
  <c r="M57" i="1" s="1"/>
  <c r="N57" i="1" s="1"/>
  <c r="P57" i="1" s="1"/>
  <c r="O56" i="1"/>
  <c r="L56" i="1"/>
  <c r="M56" i="1" s="1"/>
  <c r="N56" i="1" s="1"/>
  <c r="P56" i="1" s="1"/>
  <c r="O55" i="1"/>
  <c r="L55" i="1"/>
  <c r="M55" i="1" s="1"/>
  <c r="N55" i="1" s="1"/>
  <c r="P55" i="1" s="1"/>
  <c r="O54" i="1"/>
  <c r="L54" i="1"/>
  <c r="M54" i="1" s="1"/>
  <c r="N54" i="1" s="1"/>
  <c r="P54" i="1" s="1"/>
  <c r="O53" i="1"/>
  <c r="L53" i="1"/>
  <c r="M53" i="1" s="1"/>
  <c r="N53" i="1" s="1"/>
  <c r="P53" i="1" s="1"/>
  <c r="O52" i="1"/>
  <c r="M52" i="1"/>
  <c r="N52" i="1" s="1"/>
  <c r="P52" i="1" s="1"/>
  <c r="L52" i="1"/>
  <c r="O51" i="1"/>
  <c r="M51" i="1"/>
  <c r="N51" i="1" s="1"/>
  <c r="P51" i="1" s="1"/>
  <c r="L51" i="1"/>
  <c r="O50" i="1"/>
  <c r="M50" i="1"/>
  <c r="N50" i="1" s="1"/>
  <c r="P50" i="1" s="1"/>
  <c r="L50" i="1"/>
  <c r="O49" i="1"/>
  <c r="L49" i="1"/>
  <c r="M49" i="1" s="1"/>
  <c r="N49" i="1" s="1"/>
  <c r="P49" i="1" s="1"/>
  <c r="O48" i="1"/>
  <c r="L48" i="1"/>
  <c r="M48" i="1" s="1"/>
  <c r="N48" i="1" s="1"/>
  <c r="P48" i="1" s="1"/>
  <c r="O47" i="1"/>
  <c r="L47" i="1"/>
  <c r="M47" i="1" s="1"/>
  <c r="N47" i="1" s="1"/>
  <c r="P47" i="1" s="1"/>
  <c r="O46" i="1"/>
  <c r="L46" i="1"/>
  <c r="M46" i="1" s="1"/>
  <c r="N46" i="1" s="1"/>
  <c r="P46" i="1" s="1"/>
  <c r="O45" i="1"/>
  <c r="L45" i="1"/>
  <c r="M45" i="1" s="1"/>
  <c r="N45" i="1" s="1"/>
  <c r="P45" i="1" s="1"/>
  <c r="O44" i="1"/>
  <c r="M44" i="1"/>
  <c r="N44" i="1" s="1"/>
  <c r="P44" i="1" s="1"/>
  <c r="L44" i="1"/>
  <c r="O43" i="1"/>
  <c r="M43" i="1"/>
  <c r="N43" i="1" s="1"/>
  <c r="P43" i="1" s="1"/>
  <c r="L43" i="1"/>
  <c r="O42" i="1"/>
  <c r="M42" i="1"/>
  <c r="N42" i="1" s="1"/>
  <c r="P42" i="1" s="1"/>
  <c r="L42" i="1"/>
  <c r="O41" i="1"/>
  <c r="L41" i="1"/>
  <c r="M41" i="1" s="1"/>
  <c r="N41" i="1" s="1"/>
  <c r="P41" i="1" s="1"/>
  <c r="O40" i="1"/>
  <c r="L40" i="1"/>
  <c r="M40" i="1" s="1"/>
  <c r="N40" i="1" s="1"/>
  <c r="P40" i="1" s="1"/>
  <c r="O39" i="1"/>
  <c r="L39" i="1"/>
  <c r="M39" i="1" s="1"/>
  <c r="N39" i="1" s="1"/>
  <c r="P39" i="1" s="1"/>
  <c r="O38" i="1"/>
  <c r="L38" i="1"/>
  <c r="M38" i="1" s="1"/>
  <c r="N38" i="1" s="1"/>
  <c r="P38" i="1" s="1"/>
  <c r="O37" i="1"/>
  <c r="M37" i="1"/>
  <c r="N37" i="1" s="1"/>
  <c r="P37" i="1" s="1"/>
  <c r="L37" i="1"/>
  <c r="O36" i="1"/>
  <c r="M36" i="1"/>
  <c r="N36" i="1" s="1"/>
  <c r="P36" i="1" s="1"/>
  <c r="L36" i="1"/>
  <c r="O35" i="1"/>
  <c r="L35" i="1"/>
  <c r="M35" i="1" s="1"/>
  <c r="N35" i="1" s="1"/>
  <c r="P35" i="1" s="1"/>
  <c r="O34" i="1"/>
  <c r="L34" i="1"/>
  <c r="M34" i="1" s="1"/>
  <c r="N34" i="1" s="1"/>
  <c r="P34" i="1" s="1"/>
  <c r="O33" i="1"/>
  <c r="L33" i="1"/>
  <c r="M33" i="1" s="1"/>
  <c r="N33" i="1" s="1"/>
  <c r="P33" i="1" s="1"/>
  <c r="O32" i="1"/>
  <c r="L32" i="1"/>
  <c r="M32" i="1" s="1"/>
  <c r="N32" i="1" s="1"/>
  <c r="P32" i="1" s="1"/>
  <c r="O31" i="1"/>
  <c r="L31" i="1"/>
  <c r="M31" i="1" s="1"/>
  <c r="N31" i="1" s="1"/>
  <c r="P31" i="1" s="1"/>
  <c r="O30" i="1"/>
  <c r="M30" i="1"/>
  <c r="N30" i="1" s="1"/>
  <c r="P30" i="1" s="1"/>
  <c r="L30" i="1"/>
  <c r="P29" i="1"/>
  <c r="O29" i="1"/>
  <c r="N29" i="1"/>
  <c r="M29" i="1"/>
  <c r="L29" i="1"/>
  <c r="O28" i="1"/>
  <c r="M28" i="1"/>
  <c r="N28" i="1" s="1"/>
  <c r="P28" i="1" s="1"/>
  <c r="L28" i="1"/>
  <c r="O27" i="1"/>
  <c r="L27" i="1"/>
  <c r="M27" i="1" s="1"/>
  <c r="N27" i="1" s="1"/>
  <c r="P27" i="1" s="1"/>
  <c r="O26" i="1"/>
  <c r="M26" i="1"/>
  <c r="N26" i="1" s="1"/>
  <c r="P26" i="1" s="1"/>
  <c r="L26" i="1"/>
  <c r="O25" i="1"/>
  <c r="L25" i="1"/>
  <c r="M25" i="1" s="1"/>
  <c r="N25" i="1" s="1"/>
  <c r="P25" i="1" s="1"/>
  <c r="O24" i="1"/>
  <c r="L24" i="1"/>
  <c r="M24" i="1" s="1"/>
  <c r="N24" i="1" s="1"/>
  <c r="P24" i="1" s="1"/>
  <c r="O23" i="1"/>
  <c r="L23" i="1"/>
  <c r="M23" i="1" s="1"/>
  <c r="N23" i="1" s="1"/>
  <c r="P23" i="1" s="1"/>
  <c r="O22" i="1"/>
  <c r="M22" i="1"/>
  <c r="N22" i="1" s="1"/>
  <c r="P22" i="1" s="1"/>
  <c r="L22" i="1"/>
  <c r="P21" i="1"/>
  <c r="O21" i="1"/>
  <c r="N21" i="1"/>
  <c r="M21" i="1"/>
  <c r="L21" i="1"/>
  <c r="O20" i="1"/>
  <c r="M20" i="1"/>
  <c r="N20" i="1" s="1"/>
  <c r="P20" i="1" s="1"/>
  <c r="L20" i="1"/>
  <c r="O19" i="1"/>
  <c r="L19" i="1"/>
  <c r="M19" i="1" s="1"/>
  <c r="N19" i="1" s="1"/>
  <c r="P19" i="1" s="1"/>
  <c r="O18" i="1"/>
  <c r="M18" i="1"/>
  <c r="N18" i="1" s="1"/>
  <c r="P18" i="1" s="1"/>
  <c r="L18" i="1"/>
  <c r="O17" i="1"/>
  <c r="L17" i="1"/>
  <c r="M17" i="1" s="1"/>
  <c r="N17" i="1" s="1"/>
  <c r="P17" i="1" s="1"/>
  <c r="O16" i="1"/>
  <c r="L16" i="1"/>
  <c r="M16" i="1" s="1"/>
  <c r="N16" i="1" s="1"/>
  <c r="P16" i="1" s="1"/>
  <c r="O15" i="1"/>
  <c r="L15" i="1"/>
  <c r="M15" i="1" s="1"/>
  <c r="N15" i="1" s="1"/>
  <c r="P15" i="1" s="1"/>
  <c r="O14" i="1"/>
  <c r="M14" i="1"/>
  <c r="N14" i="1" s="1"/>
  <c r="P14" i="1" s="1"/>
  <c r="L14" i="1"/>
  <c r="P13" i="1"/>
  <c r="O13" i="1"/>
  <c r="N13" i="1"/>
  <c r="M13" i="1"/>
  <c r="L13" i="1"/>
  <c r="O12" i="1"/>
  <c r="M12" i="1"/>
  <c r="N12" i="1" s="1"/>
  <c r="P12" i="1" s="1"/>
  <c r="L12" i="1"/>
  <c r="O11" i="1"/>
  <c r="L11" i="1"/>
  <c r="M11" i="1" s="1"/>
  <c r="N11" i="1" s="1"/>
  <c r="P11" i="1" s="1"/>
  <c r="O10" i="1"/>
  <c r="M10" i="1"/>
  <c r="N10" i="1" s="1"/>
  <c r="P10" i="1" s="1"/>
  <c r="L10" i="1"/>
  <c r="O9" i="1"/>
  <c r="L9" i="1"/>
  <c r="M9" i="1" s="1"/>
  <c r="N9" i="1" s="1"/>
  <c r="P9" i="1" s="1"/>
  <c r="O8" i="1"/>
  <c r="L8" i="1"/>
  <c r="M8" i="1" s="1"/>
  <c r="N8" i="1" s="1"/>
  <c r="P8" i="1" s="1"/>
  <c r="O7" i="1"/>
  <c r="L7" i="1"/>
  <c r="M7" i="1" s="1"/>
  <c r="N7" i="1" s="1"/>
  <c r="P7" i="1" s="1"/>
  <c r="O6" i="1"/>
  <c r="L6" i="1"/>
  <c r="M6" i="1" s="1"/>
  <c r="N6" i="1" s="1"/>
  <c r="P6" i="1" s="1"/>
  <c r="O5" i="1"/>
  <c r="L5" i="1"/>
  <c r="M5" i="1" s="1"/>
  <c r="N5" i="1" s="1"/>
  <c r="P5" i="1" s="1"/>
  <c r="O4" i="1"/>
  <c r="M4" i="1"/>
  <c r="N4" i="1" s="1"/>
  <c r="P4" i="1" s="1"/>
  <c r="L4" i="1"/>
  <c r="O3" i="1"/>
  <c r="M3" i="1"/>
  <c r="N3" i="1" s="1"/>
  <c r="P3" i="1" s="1"/>
  <c r="L3" i="1"/>
  <c r="H11" i="1"/>
  <c r="H10" i="1"/>
  <c r="H8" i="1"/>
  <c r="H12" i="1" s="1"/>
  <c r="H13" i="1" s="1"/>
  <c r="C8" i="1"/>
  <c r="C9" i="1" s="1"/>
  <c r="C11" i="1" l="1"/>
  <c r="C13" i="1" s="1"/>
  <c r="C10" i="1"/>
  <c r="C12" i="1"/>
</calcChain>
</file>

<file path=xl/sharedStrings.xml><?xml version="1.0" encoding="utf-8"?>
<sst xmlns="http://schemas.openxmlformats.org/spreadsheetml/2006/main" count="29" uniqueCount="19">
  <si>
    <t>Mathematical</t>
  </si>
  <si>
    <t>Annual Demand</t>
  </si>
  <si>
    <t>Cost per unit</t>
  </si>
  <si>
    <t>Holding cost</t>
  </si>
  <si>
    <t>Order cost</t>
  </si>
  <si>
    <t>Holding cost rate</t>
  </si>
  <si>
    <t>Economic order quantity</t>
  </si>
  <si>
    <t>Number of Orders N</t>
  </si>
  <si>
    <t>Total ordering cost</t>
  </si>
  <si>
    <t>Total holding cost</t>
  </si>
  <si>
    <t>Total inventory cost</t>
  </si>
  <si>
    <t>Solver</t>
  </si>
  <si>
    <t>Number of orders</t>
  </si>
  <si>
    <t>Number of units per order (Q)</t>
  </si>
  <si>
    <t xml:space="preserve">Average Inventory </t>
  </si>
  <si>
    <t>Holding Cost</t>
  </si>
  <si>
    <t>Ordering Cost</t>
  </si>
  <si>
    <t>Total Inventory Cost</t>
  </si>
  <si>
    <t>Minimum 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</si>
</sst>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/>
    <xf numFmtId="6" fontId="0" fillId="0" borderId="1" xfId="0" applyNumberFormat="1" applyBorder="1"/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/>
    <xf numFmtId="6" fontId="0" fillId="3" borderId="1" xfId="0" applyNumberFormat="1" applyFill="1" applyBorder="1"/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/>
    <xf numFmtId="6" fontId="0" fillId="4" borderId="1" xfId="0" applyNumberFormat="1" applyFill="1" applyBorder="1"/>
    <xf numFmtId="0" fontId="0" fillId="0" borderId="1" xfId="0" applyBorder="1"/>
    <xf numFmtId="9" fontId="0" fillId="0" borderId="1" xfId="0" applyNumberFormat="1" applyBorder="1"/>
    <xf numFmtId="8" fontId="0" fillId="0" borderId="1" xfId="0" applyNumberFormat="1" applyBorder="1"/>
    <xf numFmtId="6" fontId="0" fillId="2" borderId="1" xfId="0" applyNumberFormat="1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Sheet1!$AA$3:$AA$24</c:f>
              <c:numCache>
                <c:formatCode>"$"#,##0.00</c:formatCode>
                <c:ptCount val="22"/>
                <c:pt idx="0">
                  <c:v>9748.8566371681409</c:v>
                </c:pt>
                <c:pt idx="1">
                  <c:v>70</c:v>
                </c:pt>
                <c:pt idx="2">
                  <c:v>71</c:v>
                </c:pt>
                <c:pt idx="3">
                  <c:v>72</c:v>
                </c:pt>
                <c:pt idx="4">
                  <c:v>73</c:v>
                </c:pt>
                <c:pt idx="5">
                  <c:v>74</c:v>
                </c:pt>
                <c:pt idx="6">
                  <c:v>75</c:v>
                </c:pt>
                <c:pt idx="7">
                  <c:v>76</c:v>
                </c:pt>
                <c:pt idx="8">
                  <c:v>77</c:v>
                </c:pt>
                <c:pt idx="9">
                  <c:v>78</c:v>
                </c:pt>
                <c:pt idx="10">
                  <c:v>79</c:v>
                </c:pt>
                <c:pt idx="11">
                  <c:v>80</c:v>
                </c:pt>
                <c:pt idx="12">
                  <c:v>81</c:v>
                </c:pt>
                <c:pt idx="13">
                  <c:v>82</c:v>
                </c:pt>
                <c:pt idx="14">
                  <c:v>83</c:v>
                </c:pt>
                <c:pt idx="15">
                  <c:v>84</c:v>
                </c:pt>
                <c:pt idx="16">
                  <c:v>85</c:v>
                </c:pt>
                <c:pt idx="17">
                  <c:v>86</c:v>
                </c:pt>
                <c:pt idx="18">
                  <c:v>87</c:v>
                </c:pt>
                <c:pt idx="19">
                  <c:v>88</c:v>
                </c:pt>
                <c:pt idx="20">
                  <c:v>89</c:v>
                </c:pt>
                <c:pt idx="2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E-4BF4-A9F4-F8A016264024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Sheet1!$AB$3:$AB$24</c:f>
              <c:numCache>
                <c:formatCode>"$"#,##0.00</c:formatCode>
                <c:ptCount val="22"/>
                <c:pt idx="0">
                  <c:v>210</c:v>
                </c:pt>
                <c:pt idx="1">
                  <c:v>8909.5525423728795</c:v>
                </c:pt>
                <c:pt idx="2">
                  <c:v>8972.9665860597452</c:v>
                </c:pt>
                <c:pt idx="3">
                  <c:v>9035.9339828080228</c:v>
                </c:pt>
                <c:pt idx="4">
                  <c:v>9098.4645454545462</c:v>
                </c:pt>
                <c:pt idx="5">
                  <c:v>9160.5683720930228</c:v>
                </c:pt>
                <c:pt idx="6">
                  <c:v>9222.2631578947367</c:v>
                </c:pt>
                <c:pt idx="7">
                  <c:v>9283.5352577319572</c:v>
                </c:pt>
                <c:pt idx="8">
                  <c:v>9344.4166666666661</c:v>
                </c:pt>
                <c:pt idx="9">
                  <c:v>9404.8925373134334</c:v>
                </c:pt>
                <c:pt idx="10">
                  <c:v>9464.9897297297284</c:v>
                </c:pt>
                <c:pt idx="11">
                  <c:v>9524.7081570996979</c:v>
                </c:pt>
                <c:pt idx="12">
                  <c:v>9584.0540425531908</c:v>
                </c:pt>
                <c:pt idx="13">
                  <c:v>9643.0337614678901</c:v>
                </c:pt>
                <c:pt idx="14">
                  <c:v>9701.6538461538457</c:v>
                </c:pt>
                <c:pt idx="15">
                  <c:v>9759.9209907120749</c:v>
                </c:pt>
                <c:pt idx="16">
                  <c:v>9817.8420560747654</c:v>
                </c:pt>
                <c:pt idx="17">
                  <c:v>9875.4240752351106</c:v>
                </c:pt>
                <c:pt idx="18">
                  <c:v>9932.6799212598416</c:v>
                </c:pt>
                <c:pt idx="19">
                  <c:v>9989.5960697305854</c:v>
                </c:pt>
                <c:pt idx="20">
                  <c:v>10046.203566878981</c:v>
                </c:pt>
                <c:pt idx="21">
                  <c:v>10102.476923076923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E-4BF4-A9F4-F8A016264024}"/>
            </c:ext>
          </c:extLst>
        </c:ser>
        <c:ser>
          <c:idx val="2"/>
          <c:order val="2"/>
          <c:spPr>
            <a:solidFill>
              <a:schemeClr val="accent3"/>
            </a:solidFill>
            <a:ln/>
            <a:effectLst/>
            <a:sp3d/>
          </c:spPr>
          <c:val>
            <c:numRef>
              <c:f>Sheet1!$AC$3:$AC$24</c:f>
              <c:numCache>
                <c:formatCode>"$"#,##0.00</c:formatCode>
                <c:ptCount val="22"/>
                <c:pt idx="0">
                  <c:v>211</c:v>
                </c:pt>
                <c:pt idx="1">
                  <c:v>8930.7338504936524</c:v>
                </c:pt>
                <c:pt idx="2">
                  <c:v>8994.2986363636373</c:v>
                </c:pt>
                <c:pt idx="3">
                  <c:v>9057.416995708154</c:v>
                </c:pt>
                <c:pt idx="4">
                  <c:v>9120.1068345323729</c:v>
                </c:pt>
                <c:pt idx="5">
                  <c:v>9182.3565217391315</c:v>
                </c:pt>
                <c:pt idx="6">
                  <c:v>9244.1879562043796</c:v>
                </c:pt>
                <c:pt idx="7">
                  <c:v>9305.6170925110127</c:v>
                </c:pt>
                <c:pt idx="8">
                  <c:v>9366.6326627218932</c:v>
                </c:pt>
                <c:pt idx="9">
                  <c:v>9427.261428571428</c:v>
                </c:pt>
                <c:pt idx="10">
                  <c:v>9487.5039520958089</c:v>
                </c:pt>
                <c:pt idx="11">
                  <c:v>9547.36626506024</c:v>
                </c:pt>
                <c:pt idx="12">
                  <c:v>9606.8414112291357</c:v>
                </c:pt>
                <c:pt idx="13">
                  <c:v>9665.9610687022905</c:v>
                </c:pt>
                <c:pt idx="14">
                  <c:v>9724.7211520737328</c:v>
                </c:pt>
                <c:pt idx="15">
                  <c:v>9783.1392592592601</c:v>
                </c:pt>
                <c:pt idx="16">
                  <c:v>9841.1962732919237</c:v>
                </c:pt>
                <c:pt idx="17">
                  <c:v>9898.9124999999985</c:v>
                </c:pt>
                <c:pt idx="18">
                  <c:v>9956.2950943396227</c:v>
                </c:pt>
                <c:pt idx="19">
                  <c:v>10013.36</c:v>
                </c:pt>
                <c:pt idx="20">
                  <c:v>10070.086502384736</c:v>
                </c:pt>
                <c:pt idx="21">
                  <c:v>10126.510543130989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BE-4BF4-A9F4-F8A016264024}"/>
            </c:ext>
          </c:extLst>
        </c:ser>
        <c:ser>
          <c:idx val="3"/>
          <c:order val="3"/>
          <c:spPr>
            <a:solidFill>
              <a:schemeClr val="accent4"/>
            </a:solidFill>
            <a:ln/>
            <a:effectLst/>
            <a:sp3d/>
          </c:spPr>
          <c:val>
            <c:numRef>
              <c:f>Sheet1!$AD$3:$AD$24</c:f>
              <c:numCache>
                <c:formatCode>"$"#,##0.00</c:formatCode>
                <c:ptCount val="22"/>
                <c:pt idx="0">
                  <c:v>212</c:v>
                </c:pt>
                <c:pt idx="1">
                  <c:v>8951.8738396624467</c:v>
                </c:pt>
                <c:pt idx="2">
                  <c:v>9015.5892917847013</c:v>
                </c:pt>
                <c:pt idx="3">
                  <c:v>9078.8566048502144</c:v>
                </c:pt>
                <c:pt idx="4">
                  <c:v>9141.685517241378</c:v>
                </c:pt>
                <c:pt idx="5">
                  <c:v>9204.086049204052</c:v>
                </c:pt>
                <c:pt idx="6">
                  <c:v>9266.0709606986893</c:v>
                </c:pt>
                <c:pt idx="7">
                  <c:v>9327.6365982404677</c:v>
                </c:pt>
                <c:pt idx="8">
                  <c:v>9388.8054867256633</c:v>
                </c:pt>
                <c:pt idx="9">
                  <c:v>9449.5808902077151</c:v>
                </c:pt>
                <c:pt idx="10">
                  <c:v>9509.9532286995509</c:v>
                </c:pt>
                <c:pt idx="11">
                  <c:v>9569.954887218044</c:v>
                </c:pt>
                <c:pt idx="12">
                  <c:v>9629.5825869894106</c:v>
                </c:pt>
                <c:pt idx="13">
                  <c:v>9688.8426484018273</c:v>
                </c:pt>
                <c:pt idx="14">
                  <c:v>9747.7415467075043</c:v>
                </c:pt>
                <c:pt idx="15">
                  <c:v>9806.2859167950701</c:v>
                </c:pt>
                <c:pt idx="16">
                  <c:v>9864.4825581395344</c:v>
                </c:pt>
                <c:pt idx="17">
                  <c:v>9922.3384399375973</c:v>
                </c:pt>
                <c:pt idx="18">
                  <c:v>9979.8660188087779</c:v>
                </c:pt>
                <c:pt idx="19">
                  <c:v>10037.052870662461</c:v>
                </c:pt>
                <c:pt idx="20">
                  <c:v>10093.929651347067</c:v>
                </c:pt>
                <c:pt idx="21">
                  <c:v>10150.47033492823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BE-4BF4-A9F4-F8A016264024}"/>
            </c:ext>
          </c:extLst>
        </c:ser>
        <c:ser>
          <c:idx val="4"/>
          <c:order val="4"/>
          <c:spPr>
            <a:solidFill>
              <a:schemeClr val="accent5"/>
            </a:solidFill>
            <a:ln/>
            <a:effectLst/>
            <a:sp3d/>
          </c:spPr>
          <c:val>
            <c:numRef>
              <c:f>Sheet1!$AE$3:$AE$24</c:f>
              <c:numCache>
                <c:formatCode>"$"#,##0.00</c:formatCode>
                <c:ptCount val="22"/>
                <c:pt idx="0">
                  <c:v>213</c:v>
                </c:pt>
                <c:pt idx="1">
                  <c:v>8972.9659186535755</c:v>
                </c:pt>
                <c:pt idx="2">
                  <c:v>9036.8318644067804</c:v>
                </c:pt>
                <c:pt idx="3">
                  <c:v>9100.2479658605971</c:v>
                </c:pt>
                <c:pt idx="4">
                  <c:v>9163.2238968481361</c:v>
                </c:pt>
                <c:pt idx="5">
                  <c:v>9225.7696103896105</c:v>
                </c:pt>
                <c:pt idx="6">
                  <c:v>9287.8953488372099</c:v>
                </c:pt>
                <c:pt idx="7">
                  <c:v>9349.6126315789479</c:v>
                </c:pt>
                <c:pt idx="8">
                  <c:v>9410.919189985274</c:v>
                </c:pt>
                <c:pt idx="9">
                  <c:v>9471.8333333333321</c:v>
                </c:pt>
                <c:pt idx="10">
                  <c:v>9532.3599254843502</c:v>
                </c:pt>
                <c:pt idx="11">
                  <c:v>9592.5049475262349</c:v>
                </c:pt>
                <c:pt idx="12">
                  <c:v>9652.2745248868778</c:v>
                </c:pt>
                <c:pt idx="13">
                  <c:v>9711.6631003039511</c:v>
                </c:pt>
                <c:pt idx="14">
                  <c:v>9770.7011009174312</c:v>
                </c:pt>
                <c:pt idx="15">
                  <c:v>9829.3941013824879</c:v>
                </c:pt>
                <c:pt idx="16">
                  <c:v>9887.7261978361676</c:v>
                </c:pt>
                <c:pt idx="17">
                  <c:v>9945.7158009331251</c:v>
                </c:pt>
                <c:pt idx="18">
                  <c:v>10003.369999999999</c:v>
                </c:pt>
                <c:pt idx="19">
                  <c:v>10060.704905660377</c:v>
                </c:pt>
                <c:pt idx="20">
                  <c:v>10117.699746835442</c:v>
                </c:pt>
                <c:pt idx="21">
                  <c:v>10174.391255961844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BE-4BF4-A9F4-F8A016264024}"/>
            </c:ext>
          </c:extLst>
        </c:ser>
        <c:ser>
          <c:idx val="5"/>
          <c:order val="5"/>
          <c:spPr>
            <a:solidFill>
              <a:schemeClr val="accent6"/>
            </a:solidFill>
            <a:ln/>
            <a:effectLst/>
            <a:sp3d/>
          </c:spPr>
          <c:val>
            <c:numRef>
              <c:f>Sheet1!$AF$3:$AF$24</c:f>
              <c:numCache>
                <c:formatCode>"$"#,##0.00</c:formatCode>
                <c:ptCount val="22"/>
                <c:pt idx="0">
                  <c:v>214</c:v>
                </c:pt>
                <c:pt idx="1">
                  <c:v>8993.9983193277312</c:v>
                </c:pt>
                <c:pt idx="2">
                  <c:v>9058.0135260930892</c:v>
                </c:pt>
                <c:pt idx="3">
                  <c:v>9121.5790909090902</c:v>
                </c:pt>
                <c:pt idx="4">
                  <c:v>9184.704678111586</c:v>
                </c:pt>
                <c:pt idx="5">
                  <c:v>9247.4050359712237</c:v>
                </c:pt>
                <c:pt idx="6">
                  <c:v>9309.673913043478</c:v>
                </c:pt>
                <c:pt idx="7">
                  <c:v>9371.5402915451887</c:v>
                </c:pt>
                <c:pt idx="8">
                  <c:v>9432.986387665198</c:v>
                </c:pt>
                <c:pt idx="9">
                  <c:v>9494.0466469719358</c:v>
                </c:pt>
                <c:pt idx="10">
                  <c:v>9554.7057142857157</c:v>
                </c:pt>
                <c:pt idx="11">
                  <c:v>9614.9892215568852</c:v>
                </c:pt>
                <c:pt idx="12">
                  <c:v>9674.89734939759</c:v>
                </c:pt>
                <c:pt idx="13">
                  <c:v>9734.4363636363632</c:v>
                </c:pt>
                <c:pt idx="14">
                  <c:v>9793.6126829268287</c:v>
                </c:pt>
                <c:pt idx="15">
                  <c:v>9852.4328834355838</c:v>
                </c:pt>
                <c:pt idx="16">
                  <c:v>9910.9037037037033</c:v>
                </c:pt>
                <c:pt idx="17">
                  <c:v>9969.0320496894419</c:v>
                </c:pt>
                <c:pt idx="18">
                  <c:v>10026.83031201248</c:v>
                </c:pt>
                <c:pt idx="19">
                  <c:v>10084.286467817896</c:v>
                </c:pt>
                <c:pt idx="20">
                  <c:v>10141.431482649841</c:v>
                </c:pt>
                <c:pt idx="21">
                  <c:v>10198.238095238095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BE-4BF4-A9F4-F8A01626402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val>
            <c:numRef>
              <c:f>Sheet1!$AG$3:$AG$24</c:f>
              <c:numCache>
                <c:formatCode>"$"#,##0.00</c:formatCode>
                <c:ptCount val="22"/>
                <c:pt idx="0">
                  <c:v>215</c:v>
                </c:pt>
                <c:pt idx="1">
                  <c:v>9014.9899441340785</c:v>
                </c:pt>
                <c:pt idx="2">
                  <c:v>9079.1549789029523</c:v>
                </c:pt>
                <c:pt idx="3">
                  <c:v>9142.868668555242</c:v>
                </c:pt>
                <c:pt idx="4">
                  <c:v>9206.1406134094141</c:v>
                </c:pt>
                <c:pt idx="5">
                  <c:v>9268.9806896551727</c:v>
                </c:pt>
                <c:pt idx="6">
                  <c:v>9331.4046242774566</c:v>
                </c:pt>
                <c:pt idx="7">
                  <c:v>9393.4031441048028</c:v>
                </c:pt>
                <c:pt idx="8">
                  <c:v>9455.0055197657384</c:v>
                </c:pt>
                <c:pt idx="9">
                  <c:v>9516.1971681415926</c:v>
                </c:pt>
                <c:pt idx="10">
                  <c:v>9577.0064688427301</c:v>
                </c:pt>
                <c:pt idx="11">
                  <c:v>9637.432835820895</c:v>
                </c:pt>
                <c:pt idx="12">
                  <c:v>9697.4823423423422</c:v>
                </c:pt>
                <c:pt idx="13">
                  <c:v>9757.1612084592143</c:v>
                </c:pt>
                <c:pt idx="14">
                  <c:v>9816.4758054711237</c:v>
                </c:pt>
                <c:pt idx="15">
                  <c:v>9875.4326605504575</c:v>
                </c:pt>
                <c:pt idx="16">
                  <c:v>9934.038461538461</c:v>
                </c:pt>
                <c:pt idx="17">
                  <c:v>9992.3000619195045</c:v>
                </c:pt>
                <c:pt idx="18">
                  <c:v>10050.224485981307</c:v>
                </c:pt>
                <c:pt idx="19">
                  <c:v>10107.828356807513</c:v>
                </c:pt>
                <c:pt idx="20">
                  <c:v>10165.090157480314</c:v>
                </c:pt>
                <c:pt idx="21">
                  <c:v>10222.03502377179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BE-4BF4-A9F4-F8A01626402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val>
            <c:numRef>
              <c:f>Sheet1!$AH$3:$AH$24</c:f>
              <c:numCache>
                <c:formatCode>"$"#,##0.00</c:formatCode>
                <c:ptCount val="22"/>
                <c:pt idx="0">
                  <c:v>216</c:v>
                </c:pt>
                <c:pt idx="1">
                  <c:v>9035.9348189415032</c:v>
                </c:pt>
                <c:pt idx="2">
                  <c:v>9100.2495231416542</c:v>
                </c:pt>
                <c:pt idx="3">
                  <c:v>9164.1111864406776</c:v>
                </c:pt>
                <c:pt idx="4">
                  <c:v>9227.529345661449</c:v>
                </c:pt>
                <c:pt idx="5">
                  <c:v>9290.5138108882529</c:v>
                </c:pt>
                <c:pt idx="6">
                  <c:v>9353.0746753246749</c:v>
                </c:pt>
                <c:pt idx="7">
                  <c:v>9415.2273439767778</c:v>
                </c:pt>
                <c:pt idx="8">
                  <c:v>9476.9621052631592</c:v>
                </c:pt>
                <c:pt idx="9">
                  <c:v>9538.3058823529409</c:v>
                </c:pt>
                <c:pt idx="10">
                  <c:v>9599.2594082840224</c:v>
                </c:pt>
                <c:pt idx="11">
                  <c:v>9659.8140089418775</c:v>
                </c:pt>
                <c:pt idx="12">
                  <c:v>9720.0012143928034</c:v>
                </c:pt>
                <c:pt idx="13">
                  <c:v>9779.8178280542998</c:v>
                </c:pt>
                <c:pt idx="14">
                  <c:v>9839.2702124430944</c:v>
                </c:pt>
                <c:pt idx="15">
                  <c:v>9898.364885496183</c:v>
                </c:pt>
                <c:pt idx="16">
                  <c:v>9957.1085253456222</c:v>
                </c:pt>
                <c:pt idx="17">
                  <c:v>10015.507975270481</c:v>
                </c:pt>
                <c:pt idx="18">
                  <c:v>10073.575900621119</c:v>
                </c:pt>
                <c:pt idx="19">
                  <c:v>10131.299999999999</c:v>
                </c:pt>
                <c:pt idx="20">
                  <c:v>10188.69962264151</c:v>
                </c:pt>
                <c:pt idx="21">
                  <c:v>10245.783412322275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3BE-4BF4-A9F4-F8A01626402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val>
            <c:numRef>
              <c:f>Sheet1!$AI$3:$AI$24</c:f>
              <c:numCache>
                <c:formatCode>"$"#,##0.00</c:formatCode>
                <c:ptCount val="22"/>
                <c:pt idx="0">
                  <c:v>217</c:v>
                </c:pt>
                <c:pt idx="1">
                  <c:v>9056.821001390821</c:v>
                </c:pt>
                <c:pt idx="2">
                  <c:v>9121.2835294117649</c:v>
                </c:pt>
                <c:pt idx="3">
                  <c:v>9185.2932016925242</c:v>
                </c:pt>
                <c:pt idx="4">
                  <c:v>9248.8595454545466</c:v>
                </c:pt>
                <c:pt idx="5">
                  <c:v>9312</c:v>
                </c:pt>
                <c:pt idx="6">
                  <c:v>9374.7032374100709</c:v>
                </c:pt>
                <c:pt idx="7">
                  <c:v>9436.9913043478264</c:v>
                </c:pt>
                <c:pt idx="8">
                  <c:v>9498.8779591836719</c:v>
                </c:pt>
                <c:pt idx="9">
                  <c:v>9560.3556828193832</c:v>
                </c:pt>
                <c:pt idx="10">
                  <c:v>9621.4463663220085</c:v>
                </c:pt>
                <c:pt idx="11">
                  <c:v>9682.1527488855863</c:v>
                </c:pt>
                <c:pt idx="12">
                  <c:v>9742.4808520179377</c:v>
                </c:pt>
                <c:pt idx="13">
                  <c:v>9802.4368421052641</c:v>
                </c:pt>
                <c:pt idx="14">
                  <c:v>9862.027034795763</c:v>
                </c:pt>
                <c:pt idx="15">
                  <c:v>9921.2578995433796</c:v>
                </c:pt>
                <c:pt idx="16">
                  <c:v>9980.136064318529</c:v>
                </c:pt>
                <c:pt idx="17">
                  <c:v>10038.668320493067</c:v>
                </c:pt>
                <c:pt idx="18">
                  <c:v>10096.861627906976</c:v>
                </c:pt>
                <c:pt idx="19">
                  <c:v>10154.733457943927</c:v>
                </c:pt>
                <c:pt idx="20">
                  <c:v>10212.260877742947</c:v>
                </c:pt>
                <c:pt idx="21">
                  <c:v>10269.469400630915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BE-4BF4-A9F4-F8A01626402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val>
            <c:numRef>
              <c:f>Sheet1!$AJ$3:$AJ$24</c:f>
              <c:numCache>
                <c:formatCode>"$"#,##0.00</c:formatCode>
                <c:ptCount val="22"/>
                <c:pt idx="0">
                  <c:v>218</c:v>
                </c:pt>
                <c:pt idx="1">
                  <c:v>9077.6675450762832</c:v>
                </c:pt>
                <c:pt idx="2">
                  <c:v>9142.2791061452517</c:v>
                </c:pt>
                <c:pt idx="3">
                  <c:v>9206.4361181434597</c:v>
                </c:pt>
                <c:pt idx="4">
                  <c:v>9270.1480453257791</c:v>
                </c:pt>
                <c:pt idx="5">
                  <c:v>9333.4246219686174</c:v>
                </c:pt>
                <c:pt idx="6">
                  <c:v>9396.2851506456245</c:v>
                </c:pt>
                <c:pt idx="7">
                  <c:v>9458.713526011561</c:v>
                </c:pt>
                <c:pt idx="8">
                  <c:v>9520.7353275109162</c:v>
                </c:pt>
                <c:pt idx="9">
                  <c:v>9582.3613177159586</c:v>
                </c:pt>
                <c:pt idx="10">
                  <c:v>9643.595743740796</c:v>
                </c:pt>
                <c:pt idx="11">
                  <c:v>9704.4320474777451</c:v>
                </c:pt>
                <c:pt idx="12">
                  <c:v>9764.8970149253728</c:v>
                </c:pt>
                <c:pt idx="13">
                  <c:v>9824.9899099099093</c:v>
                </c:pt>
                <c:pt idx="14">
                  <c:v>9884.7170392749249</c:v>
                </c:pt>
                <c:pt idx="15">
                  <c:v>9944.084863221884</c:v>
                </c:pt>
                <c:pt idx="16">
                  <c:v>10003.099999999999</c:v>
                </c:pt>
                <c:pt idx="17">
                  <c:v>10061.76923076923</c:v>
                </c:pt>
                <c:pt idx="18">
                  <c:v>10120.105826893356</c:v>
                </c:pt>
                <c:pt idx="19">
                  <c:v>10178.096547433903</c:v>
                </c:pt>
                <c:pt idx="20">
                  <c:v>10235.760892018778</c:v>
                </c:pt>
                <c:pt idx="21">
                  <c:v>10293.109433962265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BE-4BF4-A9F4-F8A01626402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val>
            <c:numRef>
              <c:f>Sheet1!$AK$3:$AK$24</c:f>
              <c:numCache>
                <c:formatCode>"$"#,##0.00</c:formatCode>
                <c:ptCount val="22"/>
                <c:pt idx="0">
                  <c:v>219</c:v>
                </c:pt>
                <c:pt idx="1">
                  <c:v>9098.4684647302893</c:v>
                </c:pt>
                <c:pt idx="2">
                  <c:v>9163.2199581589957</c:v>
                </c:pt>
                <c:pt idx="3">
                  <c:v>9227.5331276297329</c:v>
                </c:pt>
                <c:pt idx="4">
                  <c:v>9291.3905084745747</c:v>
                </c:pt>
                <c:pt idx="5">
                  <c:v>9354.8107254623046</c:v>
                </c:pt>
                <c:pt idx="6">
                  <c:v>9417.8037249283661</c:v>
                </c:pt>
                <c:pt idx="7">
                  <c:v>9480.3893948126788</c:v>
                </c:pt>
                <c:pt idx="8">
                  <c:v>9542.5493904208997</c:v>
                </c:pt>
                <c:pt idx="9">
                  <c:v>9604.3204379562048</c:v>
                </c:pt>
                <c:pt idx="10">
                  <c:v>9665.6823529411758</c:v>
                </c:pt>
                <c:pt idx="11">
                  <c:v>9726.667455621302</c:v>
                </c:pt>
                <c:pt idx="12">
                  <c:v>9787.2728571428579</c:v>
                </c:pt>
                <c:pt idx="13">
                  <c:v>9847.5046706586836</c:v>
                </c:pt>
                <c:pt idx="14">
                  <c:v>9907.3691566265043</c:v>
                </c:pt>
                <c:pt idx="15">
                  <c:v>9966.8727272727265</c:v>
                </c:pt>
                <c:pt idx="16">
                  <c:v>10026.021951219511</c:v>
                </c:pt>
                <c:pt idx="17">
                  <c:v>10084.823558282209</c:v>
                </c:pt>
                <c:pt idx="18">
                  <c:v>10143.284444444445</c:v>
                </c:pt>
                <c:pt idx="19">
                  <c:v>10201.423255813952</c:v>
                </c:pt>
                <c:pt idx="20">
                  <c:v>10259.214992199688</c:v>
                </c:pt>
                <c:pt idx="21">
                  <c:v>10316.685871271586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BE-4BF4-A9F4-F8A01626402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val>
            <c:numRef>
              <c:f>Sheet1!$AL$3:$AL$24</c:f>
              <c:numCache>
                <c:formatCode>"$"#,##0.00</c:formatCode>
                <c:ptCount val="22"/>
                <c:pt idx="0">
                  <c:v>220</c:v>
                </c:pt>
                <c:pt idx="1">
                  <c:v>9119.2110497237572</c:v>
                </c:pt>
                <c:pt idx="2">
                  <c:v>9184.1179276773291</c:v>
                </c:pt>
                <c:pt idx="3">
                  <c:v>9248.5687394957968</c:v>
                </c:pt>
                <c:pt idx="4">
                  <c:v>9312.572877291961</c:v>
                </c:pt>
                <c:pt idx="5">
                  <c:v>9376.14</c:v>
                </c:pt>
                <c:pt idx="6">
                  <c:v>9439.2857142857138</c:v>
                </c:pt>
                <c:pt idx="7">
                  <c:v>9502.0014388489217</c:v>
                </c:pt>
                <c:pt idx="8">
                  <c:v>9564.317409551375</c:v>
                </c:pt>
                <c:pt idx="9">
                  <c:v>9626.215626822157</c:v>
                </c:pt>
                <c:pt idx="10">
                  <c:v>9687.7296774193528</c:v>
                </c:pt>
                <c:pt idx="11">
                  <c:v>9748.8566371681409</c:v>
                </c:pt>
                <c:pt idx="12">
                  <c:v>9809.5875334323919</c:v>
                </c:pt>
                <c:pt idx="13">
                  <c:v>9869.9554260089681</c:v>
                </c:pt>
                <c:pt idx="14">
                  <c:v>9929.9560150375946</c:v>
                </c:pt>
                <c:pt idx="15">
                  <c:v>9989.5957034795756</c:v>
                </c:pt>
                <c:pt idx="16">
                  <c:v>10048.881050228309</c:v>
                </c:pt>
                <c:pt idx="17">
                  <c:v>10107.818774885145</c:v>
                </c:pt>
                <c:pt idx="18">
                  <c:v>10166.423076923078</c:v>
                </c:pt>
                <c:pt idx="19">
                  <c:v>10224.679133126934</c:v>
                </c:pt>
                <c:pt idx="20">
                  <c:v>10282.606915887851</c:v>
                </c:pt>
                <c:pt idx="21">
                  <c:v>10340.219248826292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3BE-4BF4-A9F4-F8A01626402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Sheet1!$AM$3:$AM$24</c:f>
              <c:numCache>
                <c:formatCode>"$"#,##0.00</c:formatCode>
                <c:ptCount val="22"/>
                <c:pt idx="0">
                  <c:v>221</c:v>
                </c:pt>
                <c:pt idx="1">
                  <c:v>9139.9157024793385</c:v>
                </c:pt>
                <c:pt idx="2">
                  <c:v>9204.9708599167825</c:v>
                </c:pt>
                <c:pt idx="3">
                  <c:v>9269.5682681564249</c:v>
                </c:pt>
                <c:pt idx="4">
                  <c:v>9333.7172573839671</c:v>
                </c:pt>
                <c:pt idx="5">
                  <c:v>9397.4274220963161</c:v>
                </c:pt>
                <c:pt idx="6">
                  <c:v>9460.7086305278171</c:v>
                </c:pt>
                <c:pt idx="7">
                  <c:v>9523.5775609756092</c:v>
                </c:pt>
                <c:pt idx="8">
                  <c:v>9586.0224277456637</c:v>
                </c:pt>
                <c:pt idx="9">
                  <c:v>9648.0739534883724</c:v>
                </c:pt>
                <c:pt idx="10">
                  <c:v>9709.7171156661789</c:v>
                </c:pt>
                <c:pt idx="11">
                  <c:v>9770.9796759941091</c:v>
                </c:pt>
                <c:pt idx="12">
                  <c:v>9831.8611111111113</c:v>
                </c:pt>
                <c:pt idx="13">
                  <c:v>9892.3674813710877</c:v>
                </c:pt>
                <c:pt idx="14">
                  <c:v>9952.5049925037474</c:v>
                </c:pt>
                <c:pt idx="15">
                  <c:v>10012.279999999999</c:v>
                </c:pt>
                <c:pt idx="16">
                  <c:v>10071.699013657057</c:v>
                </c:pt>
                <c:pt idx="17">
                  <c:v>10130.768702290075</c:v>
                </c:pt>
                <c:pt idx="18">
                  <c:v>10189.495898617512</c:v>
                </c:pt>
                <c:pt idx="19">
                  <c:v>10247.887604327665</c:v>
                </c:pt>
                <c:pt idx="20">
                  <c:v>10305.955527950311</c:v>
                </c:pt>
                <c:pt idx="21">
                  <c:v>10363.6875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3BE-4BF4-A9F4-F8A01626402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Sheet1!$AN$3:$AN$24</c:f>
              <c:numCache>
                <c:formatCode>"$"#,##0.00</c:formatCode>
                <c:ptCount val="22"/>
                <c:pt idx="0">
                  <c:v>222</c:v>
                </c:pt>
                <c:pt idx="1">
                  <c:v>9160.5758241758231</c:v>
                </c:pt>
                <c:pt idx="2">
                  <c:v>9225.7683656509689</c:v>
                </c:pt>
                <c:pt idx="3">
                  <c:v>9290.5114644351452</c:v>
                </c:pt>
                <c:pt idx="4">
                  <c:v>9354.8062921348319</c:v>
                </c:pt>
                <c:pt idx="5">
                  <c:v>9418.6698305084738</c:v>
                </c:pt>
                <c:pt idx="6">
                  <c:v>9482.0921052631584</c:v>
                </c:pt>
                <c:pt idx="7">
                  <c:v>9545.0936389684812</c:v>
                </c:pt>
                <c:pt idx="8">
                  <c:v>9607.6908933717568</c:v>
                </c:pt>
                <c:pt idx="9">
                  <c:v>9669.8714368650217</c:v>
                </c:pt>
                <c:pt idx="10">
                  <c:v>9731.6638686131373</c:v>
                </c:pt>
                <c:pt idx="11">
                  <c:v>9793.067841409691</c:v>
                </c:pt>
                <c:pt idx="12">
                  <c:v>9854.0755029585798</c:v>
                </c:pt>
                <c:pt idx="13">
                  <c:v>9914.7171428571419</c:v>
                </c:pt>
                <c:pt idx="14">
                  <c:v>9974.9899401197599</c:v>
                </c:pt>
                <c:pt idx="15">
                  <c:v>10034.900240963856</c:v>
                </c:pt>
                <c:pt idx="16">
                  <c:v>10094.454545454544</c:v>
                </c:pt>
                <c:pt idx="17">
                  <c:v>10153.659512195121</c:v>
                </c:pt>
                <c:pt idx="18">
                  <c:v>10212.530581929555</c:v>
                </c:pt>
                <c:pt idx="19">
                  <c:v>10271.050724191064</c:v>
                </c:pt>
                <c:pt idx="20">
                  <c:v>10329.240697674417</c:v>
                </c:pt>
                <c:pt idx="21">
                  <c:v>10387.115887850468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3BE-4BF4-A9F4-F8A01626402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Sheet1!$AO$3:$AO$24</c:f>
              <c:numCache>
                <c:formatCode>"$"#,##0.00</c:formatCode>
                <c:ptCount val="22"/>
                <c:pt idx="0">
                  <c:v>223</c:v>
                </c:pt>
                <c:pt idx="1">
                  <c:v>9181.1773662551441</c:v>
                </c:pt>
                <c:pt idx="2">
                  <c:v>9246.5257458563538</c:v>
                </c:pt>
                <c:pt idx="3">
                  <c:v>9311.4148539638372</c:v>
                </c:pt>
                <c:pt idx="4">
                  <c:v>9375.8539495798323</c:v>
                </c:pt>
                <c:pt idx="5">
                  <c:v>9439.852552891396</c:v>
                </c:pt>
                <c:pt idx="6">
                  <c:v>9503.4204545454559</c:v>
                </c:pt>
                <c:pt idx="7">
                  <c:v>9566.5714285714275</c:v>
                </c:pt>
                <c:pt idx="8">
                  <c:v>9629.2996402877689</c:v>
                </c:pt>
                <c:pt idx="9">
                  <c:v>9691.63041968162</c:v>
                </c:pt>
                <c:pt idx="10">
                  <c:v>9753.5532944606421</c:v>
                </c:pt>
                <c:pt idx="11">
                  <c:v>9815.092082111436</c:v>
                </c:pt>
                <c:pt idx="12">
                  <c:v>9876.248318584072</c:v>
                </c:pt>
                <c:pt idx="13">
                  <c:v>9937.0280118694354</c:v>
                </c:pt>
                <c:pt idx="14">
                  <c:v>9997.4373134328343</c:v>
                </c:pt>
                <c:pt idx="15">
                  <c:v>10057.482522522521</c:v>
                </c:pt>
                <c:pt idx="16">
                  <c:v>10117.170090634441</c:v>
                </c:pt>
                <c:pt idx="17">
                  <c:v>10176.506626139817</c:v>
                </c:pt>
                <c:pt idx="18">
                  <c:v>10235.49889908257</c:v>
                </c:pt>
                <c:pt idx="19">
                  <c:v>10294.153846153846</c:v>
                </c:pt>
                <c:pt idx="20">
                  <c:v>10352.48545595054</c:v>
                </c:pt>
                <c:pt idx="21">
                  <c:v>10410.47729393468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3BE-4BF4-A9F4-F8A01626402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Sheet1!$AP$3:$AP$24</c:f>
              <c:numCache>
                <c:formatCode>"$"#,##0.00</c:formatCode>
                <c:ptCount val="22"/>
                <c:pt idx="0">
                  <c:v>224</c:v>
                </c:pt>
                <c:pt idx="1">
                  <c:v>9201.7432284541719</c:v>
                </c:pt>
                <c:pt idx="2">
                  <c:v>9267.2391735537185</c:v>
                </c:pt>
                <c:pt idx="3">
                  <c:v>9332.2741747572818</c:v>
                </c:pt>
                <c:pt idx="4">
                  <c:v>9396.8574301675981</c:v>
                </c:pt>
                <c:pt idx="5">
                  <c:v>9460.9983966244727</c:v>
                </c:pt>
                <c:pt idx="6">
                  <c:v>9524.706798866855</c:v>
                </c:pt>
                <c:pt idx="7">
                  <c:v>9587.9926390870187</c:v>
                </c:pt>
                <c:pt idx="8">
                  <c:v>9650.8699713055939</c:v>
                </c:pt>
                <c:pt idx="9">
                  <c:v>9713.3313294797699</c:v>
                </c:pt>
                <c:pt idx="10">
                  <c:v>9775.4009302325576</c:v>
                </c:pt>
                <c:pt idx="11">
                  <c:v>9837.0807017543848</c:v>
                </c:pt>
                <c:pt idx="12">
                  <c:v>9898.3636082474222</c:v>
                </c:pt>
                <c:pt idx="13">
                  <c:v>9959.2777777777774</c:v>
                </c:pt>
                <c:pt idx="14">
                  <c:v>10019.821564828613</c:v>
                </c:pt>
                <c:pt idx="15">
                  <c:v>10080.001259370314</c:v>
                </c:pt>
                <c:pt idx="16">
                  <c:v>10139.823303167421</c:v>
                </c:pt>
                <c:pt idx="17">
                  <c:v>10199.294294385432</c:v>
                </c:pt>
                <c:pt idx="18">
                  <c:v>10258.431219512197</c:v>
                </c:pt>
                <c:pt idx="19">
                  <c:v>10317.214233128834</c:v>
                </c:pt>
                <c:pt idx="20">
                  <c:v>10375.665185185186</c:v>
                </c:pt>
                <c:pt idx="21">
                  <c:v>10433.802325581395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3BE-4BF4-A9F4-F8A01626402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Sheet1!$AQ$3:$AQ$24</c:f>
              <c:numCache>
                <c:formatCode>"$"#,##0.00</c:formatCode>
                <c:ptCount val="22"/>
                <c:pt idx="0">
                  <c:v>225</c:v>
                </c:pt>
                <c:pt idx="1">
                  <c:v>9222.2557377049179</c:v>
                </c:pt>
                <c:pt idx="2">
                  <c:v>9287.8958872077019</c:v>
                </c:pt>
                <c:pt idx="3">
                  <c:v>9353.0752354570632</c:v>
                </c:pt>
                <c:pt idx="4">
                  <c:v>9417.8029707112964</c:v>
                </c:pt>
                <c:pt idx="5">
                  <c:v>9482.0885393258432</c:v>
                </c:pt>
                <c:pt idx="6">
                  <c:v>9545.9491525423728</c:v>
                </c:pt>
                <c:pt idx="7">
                  <c:v>9609.3734850640103</c:v>
                </c:pt>
                <c:pt idx="8">
                  <c:v>9672.3835530085962</c:v>
                </c:pt>
                <c:pt idx="9">
                  <c:v>9734.9923919308349</c:v>
                </c:pt>
                <c:pt idx="10">
                  <c:v>9797.1934833091436</c:v>
                </c:pt>
                <c:pt idx="11">
                  <c:v>9859.0072992700716</c:v>
                </c:pt>
                <c:pt idx="12">
                  <c:v>9920.4371365638763</c:v>
                </c:pt>
                <c:pt idx="13">
                  <c:v>9981.4889512555383</c:v>
                </c:pt>
                <c:pt idx="14">
                  <c:v>10042.1688410104</c:v>
                </c:pt>
                <c:pt idx="15">
                  <c:v>10102.483049327353</c:v>
                </c:pt>
                <c:pt idx="16">
                  <c:v>10162.437969924813</c:v>
                </c:pt>
                <c:pt idx="17">
                  <c:v>10222.04015128593</c:v>
                </c:pt>
                <c:pt idx="18">
                  <c:v>10281.296301369865</c:v>
                </c:pt>
                <c:pt idx="19">
                  <c:v>10340.213292496172</c:v>
                </c:pt>
                <c:pt idx="20">
                  <c:v>10398.807692307691</c:v>
                </c:pt>
                <c:pt idx="21">
                  <c:v>10457.058204334364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3BE-4BF4-A9F4-F8A01626402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/>
            <a:effectLst/>
            <a:sp3d/>
          </c:spPr>
          <c:val>
            <c:numRef>
              <c:f>Sheet1!$AR$3:$AR$24</c:f>
              <c:numCache>
                <c:formatCode>"$"#,##0.00</c:formatCode>
                <c:ptCount val="22"/>
                <c:pt idx="0">
                  <c:v>226</c:v>
                </c:pt>
                <c:pt idx="1">
                  <c:v>9242.7286103542228</c:v>
                </c:pt>
                <c:pt idx="2">
                  <c:v>9308.5157613168722</c:v>
                </c:pt>
                <c:pt idx="3">
                  <c:v>9373.8404419889503</c:v>
                </c:pt>
                <c:pt idx="4">
                  <c:v>9438.7117802503471</c:v>
                </c:pt>
                <c:pt idx="5">
                  <c:v>9503.1391596638641</c:v>
                </c:pt>
                <c:pt idx="6">
                  <c:v>9567.132228490831</c:v>
                </c:pt>
                <c:pt idx="7">
                  <c:v>9630.7009090909087</c:v>
                </c:pt>
                <c:pt idx="8">
                  <c:v>9693.8571428571413</c:v>
                </c:pt>
                <c:pt idx="9">
                  <c:v>9756.5978417266197</c:v>
                </c:pt>
                <c:pt idx="10">
                  <c:v>9818.9434298118667</c:v>
                </c:pt>
                <c:pt idx="11">
                  <c:v>9880.8978165938861</c:v>
                </c:pt>
                <c:pt idx="12">
                  <c:v>9942.4544868035191</c:v>
                </c:pt>
                <c:pt idx="13">
                  <c:v>10003.64</c:v>
                </c:pt>
                <c:pt idx="14">
                  <c:v>10064.45359050445</c:v>
                </c:pt>
                <c:pt idx="15">
                  <c:v>10124.901492537312</c:v>
                </c:pt>
                <c:pt idx="16">
                  <c:v>10184.99009009009</c:v>
                </c:pt>
                <c:pt idx="17">
                  <c:v>10244.72592145015</c:v>
                </c:pt>
                <c:pt idx="18">
                  <c:v>10304.115683890577</c:v>
                </c:pt>
                <c:pt idx="19">
                  <c:v>10363.17251908397</c:v>
                </c:pt>
                <c:pt idx="20">
                  <c:v>10421.883271889401</c:v>
                </c:pt>
                <c:pt idx="21">
                  <c:v>10480.267233384853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3BE-4BF4-A9F4-F8A016264024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794670031"/>
        <c:axId val="1794670511"/>
        <c:axId val="1806313215"/>
      </c:surface3DChart>
      <c:catAx>
        <c:axId val="17946700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70511"/>
        <c:crosses val="autoZero"/>
        <c:auto val="1"/>
        <c:lblAlgn val="ctr"/>
        <c:lblOffset val="100"/>
        <c:noMultiLvlLbl val="0"/>
      </c:catAx>
      <c:valAx>
        <c:axId val="179467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70031"/>
        <c:crosses val="autoZero"/>
        <c:crossBetween val="midCat"/>
      </c:valAx>
      <c:serAx>
        <c:axId val="180631321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70511"/>
        <c:crosses val="autoZero"/>
      </c:serAx>
      <c:spPr>
        <a:solidFill>
          <a:schemeClr val="bg1">
            <a:lumMod val="85000"/>
          </a:schemeClr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Cost vs Order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Sheet1!$L$15:$L$31</c:f>
              <c:numCache>
                <c:formatCode>0</c:formatCode>
                <c:ptCount val="17"/>
                <c:pt idx="0">
                  <c:v>1153.8461538461538</c:v>
                </c:pt>
                <c:pt idx="1">
                  <c:v>1071.4285714285713</c:v>
                </c:pt>
                <c:pt idx="2">
                  <c:v>1000</c:v>
                </c:pt>
                <c:pt idx="3">
                  <c:v>937.5</c:v>
                </c:pt>
                <c:pt idx="4">
                  <c:v>882.35294117647061</c:v>
                </c:pt>
                <c:pt idx="5">
                  <c:v>833.33333333333337</c:v>
                </c:pt>
                <c:pt idx="6">
                  <c:v>789.47368421052636</c:v>
                </c:pt>
                <c:pt idx="7">
                  <c:v>750</c:v>
                </c:pt>
                <c:pt idx="8">
                  <c:v>714.28571428571433</c:v>
                </c:pt>
                <c:pt idx="9">
                  <c:v>681.81818181818187</c:v>
                </c:pt>
                <c:pt idx="10">
                  <c:v>652.17391304347825</c:v>
                </c:pt>
                <c:pt idx="11">
                  <c:v>625</c:v>
                </c:pt>
                <c:pt idx="12">
                  <c:v>600</c:v>
                </c:pt>
                <c:pt idx="13">
                  <c:v>576.92307692307691</c:v>
                </c:pt>
                <c:pt idx="14">
                  <c:v>555.55555555555554</c:v>
                </c:pt>
                <c:pt idx="15">
                  <c:v>535.71428571428567</c:v>
                </c:pt>
                <c:pt idx="16">
                  <c:v>517.24137931034488</c:v>
                </c:pt>
              </c:numCache>
            </c:numRef>
          </c:xVal>
          <c:yVal>
            <c:numRef>
              <c:f>Sheet1!$P$15:$P$31</c:f>
              <c:numCache>
                <c:formatCode>"$"#,##0_);[Red]\("$"#,##0\)</c:formatCode>
                <c:ptCount val="17"/>
                <c:pt idx="0">
                  <c:v>11167.692307692307</c:v>
                </c:pt>
                <c:pt idx="1">
                  <c:v>10794.285714285714</c:v>
                </c:pt>
                <c:pt idx="2">
                  <c:v>10500</c:v>
                </c:pt>
                <c:pt idx="3">
                  <c:v>10270</c:v>
                </c:pt>
                <c:pt idx="4">
                  <c:v>10092.941176470587</c:v>
                </c:pt>
                <c:pt idx="5">
                  <c:v>9960</c:v>
                </c:pt>
                <c:pt idx="6">
                  <c:v>9864.21052631579</c:v>
                </c:pt>
                <c:pt idx="7">
                  <c:v>9800</c:v>
                </c:pt>
                <c:pt idx="8">
                  <c:v>9762.8571428571431</c:v>
                </c:pt>
                <c:pt idx="9">
                  <c:v>9749.0909090909081</c:v>
                </c:pt>
                <c:pt idx="10">
                  <c:v>9755.652173913044</c:v>
                </c:pt>
                <c:pt idx="11">
                  <c:v>9780</c:v>
                </c:pt>
                <c:pt idx="12">
                  <c:v>9820</c:v>
                </c:pt>
                <c:pt idx="13">
                  <c:v>9873.8461538461524</c:v>
                </c:pt>
                <c:pt idx="14">
                  <c:v>9940</c:v>
                </c:pt>
                <c:pt idx="15">
                  <c:v>10017.142857142857</c:v>
                </c:pt>
                <c:pt idx="16">
                  <c:v>10104.137931034482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E-4FB4-B1E3-3F8681D91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686351"/>
        <c:axId val="1794686831"/>
      </c:scatterChart>
      <c:valAx>
        <c:axId val="179468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86831"/>
        <c:crosses val="autoZero"/>
        <c:crossBetween val="midCat"/>
      </c:valAx>
      <c:valAx>
        <c:axId val="179468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68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514634</xdr:colOff>
      <xdr:row>27</xdr:row>
      <xdr:rowOff>104254</xdr:rowOff>
    </xdr:from>
    <xdr:to>
      <xdr:col>38</xdr:col>
      <xdr:colOff>234097</xdr:colOff>
      <xdr:row>39</xdr:row>
      <xdr:rowOff>172683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21E3D-62D5-ACA8-3A5E-D93B66C0F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381948</xdr:colOff>
      <xdr:row>7</xdr:row>
      <xdr:rowOff>111647</xdr:rowOff>
    </xdr:from>
    <xdr:to>
      <xdr:col>24</xdr:col>
      <xdr:colOff>101411</xdr:colOff>
      <xdr:row>22</xdr:row>
      <xdr:rowOff>153727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EC7FB5-085F-A46A-EF97-7E13CF1EF5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CD746-470E-416C-B02B-8A70C9F08EB9}">
  <dimension ref="B2:AR72"/>
  <sheetViews>
    <sheetView tabSelected="1" topLeftCell="N19" zoomScale="50" workbookViewId="0">
      <selection activeCell="AQ39" sqref="AQ39"/>
    </sheetView>
  </sheetViews>
  <sheetFormatPr defaultRowHeight="14.5" x14ac:dyDescent="0.35"/>
  <cols>
    <col min="2" max="2" width="22.26953125" customWidth="1"/>
    <col min="3" max="3" width="24.90625" customWidth="1"/>
    <col min="7" max="7" width="24.453125" customWidth="1"/>
    <col min="8" max="8" width="14.81640625" customWidth="1"/>
    <col min="11" max="11" width="16" customWidth="1"/>
    <col min="12" max="12" width="24.453125" customWidth="1"/>
    <col min="13" max="13" width="15.36328125" customWidth="1"/>
    <col min="14" max="14" width="17.26953125" customWidth="1"/>
    <col min="15" max="15" width="12.08984375" customWidth="1"/>
    <col min="16" max="16" width="18" customWidth="1"/>
    <col min="27" max="27" width="13.7265625" customWidth="1"/>
    <col min="28" max="29" width="12.08984375" customWidth="1"/>
    <col min="30" max="30" width="10.7265625" customWidth="1"/>
    <col min="31" max="44" width="10.7265625" bestFit="1" customWidth="1"/>
  </cols>
  <sheetData>
    <row r="2" spans="2:44" x14ac:dyDescent="0.35">
      <c r="B2" s="1" t="s">
        <v>0</v>
      </c>
      <c r="C2" s="14"/>
      <c r="G2" s="1" t="s">
        <v>11</v>
      </c>
      <c r="H2" s="14"/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R2" s="1" t="s">
        <v>18</v>
      </c>
      <c r="S2" s="17">
        <f>MIN(P3:P72)</f>
        <v>9749.0909090909081</v>
      </c>
    </row>
    <row r="3" spans="2:44" x14ac:dyDescent="0.35">
      <c r="B3" s="14" t="s">
        <v>1</v>
      </c>
      <c r="C3" s="14">
        <v>15000</v>
      </c>
      <c r="G3" s="14" t="s">
        <v>1</v>
      </c>
      <c r="H3" s="14">
        <v>15000</v>
      </c>
      <c r="K3" s="2">
        <v>1</v>
      </c>
      <c r="L3" s="3">
        <f>$H$3/K3</f>
        <v>15000</v>
      </c>
      <c r="M3" s="4">
        <f>L3/2</f>
        <v>7500</v>
      </c>
      <c r="N3" s="5">
        <f>M3*$H$8</f>
        <v>107999.99999999999</v>
      </c>
      <c r="O3" s="5">
        <f>$H$6*K3</f>
        <v>220</v>
      </c>
      <c r="P3" s="5">
        <f>N3+O3</f>
        <v>108219.99999999999</v>
      </c>
      <c r="AA3" s="18">
        <f>C13</f>
        <v>9748.8566371681409</v>
      </c>
      <c r="AB3" s="18">
        <v>210</v>
      </c>
      <c r="AC3" s="18">
        <f>AB3+1</f>
        <v>211</v>
      </c>
      <c r="AD3" s="18">
        <f t="shared" ref="AD3:AR3" si="0">AC3+1</f>
        <v>212</v>
      </c>
      <c r="AE3" s="18">
        <f t="shared" si="0"/>
        <v>213</v>
      </c>
      <c r="AF3" s="18">
        <f t="shared" si="0"/>
        <v>214</v>
      </c>
      <c r="AG3" s="18">
        <f t="shared" si="0"/>
        <v>215</v>
      </c>
      <c r="AH3" s="18">
        <f t="shared" si="0"/>
        <v>216</v>
      </c>
      <c r="AI3" s="18">
        <f t="shared" si="0"/>
        <v>217</v>
      </c>
      <c r="AJ3" s="18">
        <f t="shared" si="0"/>
        <v>218</v>
      </c>
      <c r="AK3" s="18">
        <f t="shared" si="0"/>
        <v>219</v>
      </c>
      <c r="AL3" s="18">
        <f t="shared" si="0"/>
        <v>220</v>
      </c>
      <c r="AM3" s="18">
        <f t="shared" si="0"/>
        <v>221</v>
      </c>
      <c r="AN3" s="18">
        <f t="shared" si="0"/>
        <v>222</v>
      </c>
      <c r="AO3" s="18">
        <f>AN3+1</f>
        <v>223</v>
      </c>
      <c r="AP3" s="18">
        <f t="shared" si="0"/>
        <v>224</v>
      </c>
      <c r="AQ3" s="18">
        <f t="shared" si="0"/>
        <v>225</v>
      </c>
      <c r="AR3" s="18">
        <f t="shared" si="0"/>
        <v>226</v>
      </c>
    </row>
    <row r="4" spans="2:44" x14ac:dyDescent="0.35">
      <c r="B4" s="14" t="s">
        <v>2</v>
      </c>
      <c r="C4" s="5">
        <v>80</v>
      </c>
      <c r="G4" s="14" t="s">
        <v>2</v>
      </c>
      <c r="H4" s="5">
        <v>80</v>
      </c>
      <c r="K4" s="2">
        <v>2</v>
      </c>
      <c r="L4" s="3">
        <f t="shared" ref="L4:L67" si="1">$H$3/K4</f>
        <v>7500</v>
      </c>
      <c r="M4" s="4">
        <f t="shared" ref="M4:M67" si="2">L4/2</f>
        <v>3750</v>
      </c>
      <c r="N4" s="5">
        <f t="shared" ref="N4:N67" si="3">M4*$H$8</f>
        <v>53999.999999999993</v>
      </c>
      <c r="O4" s="5">
        <f t="shared" ref="O4:O67" si="4">$H$6*K4</f>
        <v>440</v>
      </c>
      <c r="P4" s="5">
        <f t="shared" ref="P4:P67" si="5">N4+O4</f>
        <v>54439.999999999993</v>
      </c>
      <c r="AA4" s="18">
        <v>70</v>
      </c>
      <c r="AB4" s="18">
        <v>8909.5525423728795</v>
      </c>
      <c r="AC4" s="18">
        <v>8930.7338504936524</v>
      </c>
      <c r="AD4" s="18">
        <v>8951.8738396624467</v>
      </c>
      <c r="AE4" s="18">
        <v>8972.9659186535755</v>
      </c>
      <c r="AF4" s="18">
        <v>8993.9983193277312</v>
      </c>
      <c r="AG4" s="18">
        <v>9014.9899441340785</v>
      </c>
      <c r="AH4" s="18">
        <v>9035.9348189415032</v>
      </c>
      <c r="AI4" s="18">
        <v>9056.821001390821</v>
      </c>
      <c r="AJ4" s="18">
        <v>9077.6675450762832</v>
      </c>
      <c r="AK4" s="18">
        <v>9098.4684647302893</v>
      </c>
      <c r="AL4" s="18">
        <v>9119.2110497237572</v>
      </c>
      <c r="AM4" s="18">
        <v>9139.9157024793385</v>
      </c>
      <c r="AN4" s="18">
        <v>9160.5758241758231</v>
      </c>
      <c r="AO4" s="18">
        <v>9181.1773662551441</v>
      </c>
      <c r="AP4" s="18">
        <v>9201.7432284541719</v>
      </c>
      <c r="AQ4" s="18">
        <v>9222.2557377049179</v>
      </c>
      <c r="AR4" s="18">
        <v>9242.7286103542228</v>
      </c>
    </row>
    <row r="5" spans="2:44" x14ac:dyDescent="0.35">
      <c r="B5" s="14" t="s">
        <v>3</v>
      </c>
      <c r="C5" s="15">
        <v>0.18</v>
      </c>
      <c r="G5" s="14" t="s">
        <v>3</v>
      </c>
      <c r="H5" s="15">
        <v>0.18</v>
      </c>
      <c r="K5" s="2">
        <v>3</v>
      </c>
      <c r="L5" s="3">
        <f t="shared" si="1"/>
        <v>5000</v>
      </c>
      <c r="M5" s="4">
        <f t="shared" si="2"/>
        <v>2500</v>
      </c>
      <c r="N5" s="5">
        <f t="shared" si="3"/>
        <v>36000</v>
      </c>
      <c r="O5" s="5">
        <f t="shared" si="4"/>
        <v>660</v>
      </c>
      <c r="P5" s="5">
        <f t="shared" si="5"/>
        <v>36660</v>
      </c>
      <c r="AA5" s="18">
        <f>AA4+1</f>
        <v>71</v>
      </c>
      <c r="AB5" s="18">
        <v>8972.9665860597452</v>
      </c>
      <c r="AC5" s="18">
        <v>8994.2986363636373</v>
      </c>
      <c r="AD5" s="18">
        <v>9015.5892917847013</v>
      </c>
      <c r="AE5" s="18">
        <v>9036.8318644067804</v>
      </c>
      <c r="AF5" s="18">
        <v>9058.0135260930892</v>
      </c>
      <c r="AG5" s="18">
        <v>9079.1549789029523</v>
      </c>
      <c r="AH5" s="18">
        <v>9100.2495231416542</v>
      </c>
      <c r="AI5" s="18">
        <v>9121.2835294117649</v>
      </c>
      <c r="AJ5" s="18">
        <v>9142.2791061452517</v>
      </c>
      <c r="AK5" s="18">
        <v>9163.2199581589957</v>
      </c>
      <c r="AL5" s="18">
        <v>9184.1179276773291</v>
      </c>
      <c r="AM5" s="18">
        <v>9204.9708599167825</v>
      </c>
      <c r="AN5" s="18">
        <v>9225.7683656509689</v>
      </c>
      <c r="AO5" s="18">
        <v>9246.5257458563538</v>
      </c>
      <c r="AP5" s="18">
        <v>9267.2391735537185</v>
      </c>
      <c r="AQ5" s="18">
        <v>9287.8958872077019</v>
      </c>
      <c r="AR5" s="18">
        <v>9308.5157613168722</v>
      </c>
    </row>
    <row r="6" spans="2:44" x14ac:dyDescent="0.35">
      <c r="B6" s="14" t="s">
        <v>4</v>
      </c>
      <c r="C6" s="5">
        <v>220</v>
      </c>
      <c r="G6" s="14" t="s">
        <v>4</v>
      </c>
      <c r="H6" s="5">
        <v>220</v>
      </c>
      <c r="K6" s="2">
        <v>4</v>
      </c>
      <c r="L6" s="3">
        <f t="shared" si="1"/>
        <v>3750</v>
      </c>
      <c r="M6" s="4">
        <f t="shared" si="2"/>
        <v>1875</v>
      </c>
      <c r="N6" s="5">
        <f t="shared" si="3"/>
        <v>26999.999999999996</v>
      </c>
      <c r="O6" s="5">
        <f t="shared" si="4"/>
        <v>880</v>
      </c>
      <c r="P6" s="5">
        <f t="shared" si="5"/>
        <v>27879.999999999996</v>
      </c>
      <c r="AA6" s="18">
        <f t="shared" ref="AA6:AA24" si="6">AA5+1</f>
        <v>72</v>
      </c>
      <c r="AB6" s="18">
        <v>9035.9339828080228</v>
      </c>
      <c r="AC6" s="18">
        <v>9057.416995708154</v>
      </c>
      <c r="AD6" s="18">
        <v>9078.8566048502144</v>
      </c>
      <c r="AE6" s="18">
        <v>9100.2479658605971</v>
      </c>
      <c r="AF6" s="18">
        <v>9121.5790909090902</v>
      </c>
      <c r="AG6" s="18">
        <v>9142.868668555242</v>
      </c>
      <c r="AH6" s="18">
        <v>9164.1111864406776</v>
      </c>
      <c r="AI6" s="18">
        <v>9185.2932016925242</v>
      </c>
      <c r="AJ6" s="18">
        <v>9206.4361181434597</v>
      </c>
      <c r="AK6" s="18">
        <v>9227.5331276297329</v>
      </c>
      <c r="AL6" s="18">
        <v>9248.5687394957968</v>
      </c>
      <c r="AM6" s="18">
        <v>9269.5682681564249</v>
      </c>
      <c r="AN6" s="18">
        <v>9290.5114644351452</v>
      </c>
      <c r="AO6" s="18">
        <v>9311.4148539638372</v>
      </c>
      <c r="AP6" s="18">
        <v>9332.2741747572818</v>
      </c>
      <c r="AQ6" s="18">
        <v>9353.0752354570632</v>
      </c>
      <c r="AR6" s="18">
        <v>9373.8404419889503</v>
      </c>
    </row>
    <row r="7" spans="2:44" x14ac:dyDescent="0.35">
      <c r="B7" s="14"/>
      <c r="C7" s="14"/>
      <c r="G7" s="14"/>
      <c r="H7" s="14"/>
      <c r="K7" s="2">
        <v>5</v>
      </c>
      <c r="L7" s="3">
        <f t="shared" si="1"/>
        <v>3000</v>
      </c>
      <c r="M7" s="4">
        <f t="shared" si="2"/>
        <v>1500</v>
      </c>
      <c r="N7" s="5">
        <f t="shared" si="3"/>
        <v>21599.999999999996</v>
      </c>
      <c r="O7" s="5">
        <f t="shared" si="4"/>
        <v>1100</v>
      </c>
      <c r="P7" s="5">
        <f t="shared" si="5"/>
        <v>22699.999999999996</v>
      </c>
      <c r="AA7" s="18">
        <f t="shared" si="6"/>
        <v>73</v>
      </c>
      <c r="AB7" s="18">
        <v>9098.4645454545462</v>
      </c>
      <c r="AC7" s="18">
        <v>9120.1068345323729</v>
      </c>
      <c r="AD7" s="18">
        <v>9141.685517241378</v>
      </c>
      <c r="AE7" s="18">
        <v>9163.2238968481361</v>
      </c>
      <c r="AF7" s="18">
        <v>9184.704678111586</v>
      </c>
      <c r="AG7" s="18">
        <v>9206.1406134094141</v>
      </c>
      <c r="AH7" s="18">
        <v>9227.529345661449</v>
      </c>
      <c r="AI7" s="18">
        <v>9248.8595454545466</v>
      </c>
      <c r="AJ7" s="18">
        <v>9270.1480453257791</v>
      </c>
      <c r="AK7" s="18">
        <v>9291.3905084745747</v>
      </c>
      <c r="AL7" s="18">
        <v>9312.572877291961</v>
      </c>
      <c r="AM7" s="18">
        <v>9333.7172573839671</v>
      </c>
      <c r="AN7" s="18">
        <v>9354.8062921348319</v>
      </c>
      <c r="AO7" s="18">
        <v>9375.8539495798323</v>
      </c>
      <c r="AP7" s="18">
        <v>9396.8574301675981</v>
      </c>
      <c r="AQ7" s="18">
        <v>9417.8029707112964</v>
      </c>
      <c r="AR7" s="18">
        <v>9438.7117802503471</v>
      </c>
    </row>
    <row r="8" spans="2:44" x14ac:dyDescent="0.35">
      <c r="B8" s="14" t="s">
        <v>5</v>
      </c>
      <c r="C8" s="16">
        <f>C5*C4</f>
        <v>14.399999999999999</v>
      </c>
      <c r="G8" s="14" t="s">
        <v>5</v>
      </c>
      <c r="H8" s="16">
        <f>H5*H4</f>
        <v>14.399999999999999</v>
      </c>
      <c r="K8" s="2">
        <v>6</v>
      </c>
      <c r="L8" s="3">
        <f t="shared" si="1"/>
        <v>2500</v>
      </c>
      <c r="M8" s="4">
        <f t="shared" si="2"/>
        <v>1250</v>
      </c>
      <c r="N8" s="5">
        <f t="shared" si="3"/>
        <v>18000</v>
      </c>
      <c r="O8" s="5">
        <f t="shared" si="4"/>
        <v>1320</v>
      </c>
      <c r="P8" s="5">
        <f t="shared" si="5"/>
        <v>19320</v>
      </c>
      <c r="AA8" s="18">
        <f t="shared" si="6"/>
        <v>74</v>
      </c>
      <c r="AB8" s="18">
        <v>9160.5683720930228</v>
      </c>
      <c r="AC8" s="18">
        <v>9182.3565217391315</v>
      </c>
      <c r="AD8" s="18">
        <v>9204.086049204052</v>
      </c>
      <c r="AE8" s="18">
        <v>9225.7696103896105</v>
      </c>
      <c r="AF8" s="18">
        <v>9247.4050359712237</v>
      </c>
      <c r="AG8" s="18">
        <v>9268.9806896551727</v>
      </c>
      <c r="AH8" s="18">
        <v>9290.5138108882529</v>
      </c>
      <c r="AI8" s="18">
        <v>9312</v>
      </c>
      <c r="AJ8" s="18">
        <v>9333.4246219686174</v>
      </c>
      <c r="AK8" s="18">
        <v>9354.8107254623046</v>
      </c>
      <c r="AL8" s="18">
        <v>9376.14</v>
      </c>
      <c r="AM8" s="18">
        <v>9397.4274220963161</v>
      </c>
      <c r="AN8" s="18">
        <v>9418.6698305084738</v>
      </c>
      <c r="AO8" s="18">
        <v>9439.852552891396</v>
      </c>
      <c r="AP8" s="18">
        <v>9460.9983966244727</v>
      </c>
      <c r="AQ8" s="18">
        <v>9482.0885393258432</v>
      </c>
      <c r="AR8" s="18">
        <v>9503.1391596638641</v>
      </c>
    </row>
    <row r="9" spans="2:44" x14ac:dyDescent="0.35">
      <c r="B9" s="14" t="s">
        <v>6</v>
      </c>
      <c r="C9" s="14">
        <f>ROUNDUP(SQRT((2*C3*C6)/C8),0)</f>
        <v>678</v>
      </c>
      <c r="G9" s="14" t="s">
        <v>6</v>
      </c>
      <c r="H9" s="14">
        <v>678</v>
      </c>
      <c r="K9" s="2">
        <v>7</v>
      </c>
      <c r="L9" s="3">
        <f t="shared" si="1"/>
        <v>2142.8571428571427</v>
      </c>
      <c r="M9" s="4">
        <f t="shared" si="2"/>
        <v>1071.4285714285713</v>
      </c>
      <c r="N9" s="5">
        <f t="shared" si="3"/>
        <v>15428.571428571426</v>
      </c>
      <c r="O9" s="5">
        <f t="shared" si="4"/>
        <v>1540</v>
      </c>
      <c r="P9" s="5">
        <f t="shared" si="5"/>
        <v>16968.571428571428</v>
      </c>
      <c r="AA9" s="18">
        <f t="shared" si="6"/>
        <v>75</v>
      </c>
      <c r="AB9" s="18">
        <v>9222.2631578947367</v>
      </c>
      <c r="AC9" s="18">
        <v>9244.1879562043796</v>
      </c>
      <c r="AD9" s="18">
        <v>9266.0709606986893</v>
      </c>
      <c r="AE9" s="18">
        <v>9287.8953488372099</v>
      </c>
      <c r="AF9" s="18">
        <v>9309.673913043478</v>
      </c>
      <c r="AG9" s="18">
        <v>9331.4046242774566</v>
      </c>
      <c r="AH9" s="18">
        <v>9353.0746753246749</v>
      </c>
      <c r="AI9" s="18">
        <v>9374.7032374100709</v>
      </c>
      <c r="AJ9" s="18">
        <v>9396.2851506456245</v>
      </c>
      <c r="AK9" s="18">
        <v>9417.8037249283661</v>
      </c>
      <c r="AL9" s="18">
        <v>9439.2857142857138</v>
      </c>
      <c r="AM9" s="18">
        <v>9460.7086305278171</v>
      </c>
      <c r="AN9" s="18">
        <v>9482.0921052631584</v>
      </c>
      <c r="AO9" s="18">
        <v>9503.4204545454559</v>
      </c>
      <c r="AP9" s="18">
        <v>9524.706798866855</v>
      </c>
      <c r="AQ9" s="18">
        <v>9545.9491525423728</v>
      </c>
      <c r="AR9" s="18">
        <v>9567.132228490831</v>
      </c>
    </row>
    <row r="10" spans="2:44" x14ac:dyDescent="0.35">
      <c r="B10" s="14" t="s">
        <v>7</v>
      </c>
      <c r="C10" s="4">
        <f>(C3/C9)</f>
        <v>22.123893805309734</v>
      </c>
      <c r="G10" s="14" t="s">
        <v>7</v>
      </c>
      <c r="H10" s="14">
        <f>H3/H9</f>
        <v>22.123893805309734</v>
      </c>
      <c r="K10" s="2">
        <v>8</v>
      </c>
      <c r="L10" s="3">
        <f t="shared" si="1"/>
        <v>1875</v>
      </c>
      <c r="M10" s="4">
        <f t="shared" si="2"/>
        <v>937.5</v>
      </c>
      <c r="N10" s="5">
        <f t="shared" si="3"/>
        <v>13499.999999999998</v>
      </c>
      <c r="O10" s="5">
        <f t="shared" si="4"/>
        <v>1760</v>
      </c>
      <c r="P10" s="5">
        <f t="shared" si="5"/>
        <v>15259.999999999998</v>
      </c>
      <c r="AA10" s="18">
        <f t="shared" si="6"/>
        <v>76</v>
      </c>
      <c r="AB10" s="18">
        <v>9283.5352577319572</v>
      </c>
      <c r="AC10" s="18">
        <v>9305.6170925110127</v>
      </c>
      <c r="AD10" s="18">
        <v>9327.6365982404677</v>
      </c>
      <c r="AE10" s="18">
        <v>9349.6126315789479</v>
      </c>
      <c r="AF10" s="18">
        <v>9371.5402915451887</v>
      </c>
      <c r="AG10" s="18">
        <v>9393.4031441048028</v>
      </c>
      <c r="AH10" s="18">
        <v>9415.2273439767778</v>
      </c>
      <c r="AI10" s="18">
        <v>9436.9913043478264</v>
      </c>
      <c r="AJ10" s="18">
        <v>9458.713526011561</v>
      </c>
      <c r="AK10" s="18">
        <v>9480.3893948126788</v>
      </c>
      <c r="AL10" s="18">
        <v>9502.0014388489217</v>
      </c>
      <c r="AM10" s="18">
        <v>9523.5775609756092</v>
      </c>
      <c r="AN10" s="18">
        <v>9545.0936389684812</v>
      </c>
      <c r="AO10" s="18">
        <v>9566.5714285714275</v>
      </c>
      <c r="AP10" s="18">
        <v>9587.9926390870187</v>
      </c>
      <c r="AQ10" s="18">
        <v>9609.3734850640103</v>
      </c>
      <c r="AR10" s="18">
        <v>9630.7009090909087</v>
      </c>
    </row>
    <row r="11" spans="2:44" x14ac:dyDescent="0.35">
      <c r="B11" s="14" t="s">
        <v>8</v>
      </c>
      <c r="C11" s="16">
        <f>(C3/C9)*C6</f>
        <v>4867.2566371681414</v>
      </c>
      <c r="G11" s="14" t="s">
        <v>8</v>
      </c>
      <c r="H11" s="14">
        <f>(H3/H9)*H6</f>
        <v>4867.2566371681414</v>
      </c>
      <c r="K11" s="6">
        <v>9</v>
      </c>
      <c r="L11" s="7">
        <f t="shared" si="1"/>
        <v>1666.6666666666667</v>
      </c>
      <c r="M11" s="8">
        <f t="shared" si="2"/>
        <v>833.33333333333337</v>
      </c>
      <c r="N11" s="9">
        <f t="shared" si="3"/>
        <v>12000</v>
      </c>
      <c r="O11" s="9">
        <f t="shared" si="4"/>
        <v>1980</v>
      </c>
      <c r="P11" s="9">
        <f t="shared" si="5"/>
        <v>13980</v>
      </c>
      <c r="AA11" s="18">
        <f t="shared" si="6"/>
        <v>77</v>
      </c>
      <c r="AB11" s="18">
        <v>9344.4166666666661</v>
      </c>
      <c r="AC11" s="18">
        <v>9366.6326627218932</v>
      </c>
      <c r="AD11" s="18">
        <v>9388.8054867256633</v>
      </c>
      <c r="AE11" s="18">
        <v>9410.919189985274</v>
      </c>
      <c r="AF11" s="18">
        <v>9432.986387665198</v>
      </c>
      <c r="AG11" s="18">
        <v>9455.0055197657384</v>
      </c>
      <c r="AH11" s="18">
        <v>9476.9621052631592</v>
      </c>
      <c r="AI11" s="18">
        <v>9498.8779591836719</v>
      </c>
      <c r="AJ11" s="18">
        <v>9520.7353275109162</v>
      </c>
      <c r="AK11" s="18">
        <v>9542.5493904208997</v>
      </c>
      <c r="AL11" s="18">
        <v>9564.317409551375</v>
      </c>
      <c r="AM11" s="18">
        <v>9586.0224277456637</v>
      </c>
      <c r="AN11" s="18">
        <v>9607.6908933717568</v>
      </c>
      <c r="AO11" s="18">
        <v>9629.2996402877689</v>
      </c>
      <c r="AP11" s="18">
        <v>9650.8699713055939</v>
      </c>
      <c r="AQ11" s="18">
        <v>9672.3835530085962</v>
      </c>
      <c r="AR11" s="18">
        <v>9693.8571428571413</v>
      </c>
    </row>
    <row r="12" spans="2:44" x14ac:dyDescent="0.35">
      <c r="B12" s="14" t="s">
        <v>9</v>
      </c>
      <c r="C12" s="16">
        <f>(C9/2)*C8</f>
        <v>4881.5999999999995</v>
      </c>
      <c r="G12" s="14" t="s">
        <v>9</v>
      </c>
      <c r="H12" s="16">
        <f>(H9/2)*H8</f>
        <v>4881.5999999999995</v>
      </c>
      <c r="K12" s="2">
        <v>10</v>
      </c>
      <c r="L12" s="3">
        <f t="shared" si="1"/>
        <v>1500</v>
      </c>
      <c r="M12" s="4">
        <f t="shared" si="2"/>
        <v>750</v>
      </c>
      <c r="N12" s="5">
        <f t="shared" si="3"/>
        <v>10799.999999999998</v>
      </c>
      <c r="O12" s="5">
        <f t="shared" si="4"/>
        <v>2200</v>
      </c>
      <c r="P12" s="5">
        <f t="shared" si="5"/>
        <v>12999.999999999998</v>
      </c>
      <c r="AA12" s="18">
        <f t="shared" si="6"/>
        <v>78</v>
      </c>
      <c r="AB12" s="18">
        <v>9404.8925373134334</v>
      </c>
      <c r="AC12" s="18">
        <v>9427.261428571428</v>
      </c>
      <c r="AD12" s="18">
        <v>9449.5808902077151</v>
      </c>
      <c r="AE12" s="18">
        <v>9471.8333333333321</v>
      </c>
      <c r="AF12" s="18">
        <v>9494.0466469719358</v>
      </c>
      <c r="AG12" s="18">
        <v>9516.1971681415926</v>
      </c>
      <c r="AH12" s="18">
        <v>9538.3058823529409</v>
      </c>
      <c r="AI12" s="18">
        <v>9560.3556828193832</v>
      </c>
      <c r="AJ12" s="18">
        <v>9582.3613177159586</v>
      </c>
      <c r="AK12" s="18">
        <v>9604.3204379562048</v>
      </c>
      <c r="AL12" s="19">
        <v>9626.215626822157</v>
      </c>
      <c r="AM12" s="18">
        <v>9648.0739534883724</v>
      </c>
      <c r="AN12" s="18">
        <v>9669.8714368650217</v>
      </c>
      <c r="AO12" s="18">
        <v>9691.63041968162</v>
      </c>
      <c r="AP12" s="18">
        <v>9713.3313294797699</v>
      </c>
      <c r="AQ12" s="18">
        <v>9734.9923919308349</v>
      </c>
      <c r="AR12" s="18">
        <v>9756.5978417266197</v>
      </c>
    </row>
    <row r="13" spans="2:44" x14ac:dyDescent="0.35">
      <c r="B13" s="14" t="s">
        <v>10</v>
      </c>
      <c r="C13" s="16">
        <f>C11+C12</f>
        <v>9748.8566371681409</v>
      </c>
      <c r="G13" s="14" t="s">
        <v>10</v>
      </c>
      <c r="H13" s="16">
        <f>H11+H12</f>
        <v>9748.8566371681409</v>
      </c>
      <c r="K13" s="2">
        <v>11</v>
      </c>
      <c r="L13" s="3">
        <f t="shared" si="1"/>
        <v>1363.6363636363637</v>
      </c>
      <c r="M13" s="4">
        <f t="shared" si="2"/>
        <v>681.81818181818187</v>
      </c>
      <c r="N13" s="5">
        <f t="shared" si="3"/>
        <v>9818.181818181818</v>
      </c>
      <c r="O13" s="5">
        <f t="shared" si="4"/>
        <v>2420</v>
      </c>
      <c r="P13" s="5">
        <f t="shared" si="5"/>
        <v>12238.181818181818</v>
      </c>
      <c r="AA13" s="18">
        <f t="shared" si="6"/>
        <v>79</v>
      </c>
      <c r="AB13" s="18">
        <v>9464.9897297297284</v>
      </c>
      <c r="AC13" s="18">
        <v>9487.5039520958089</v>
      </c>
      <c r="AD13" s="18">
        <v>9509.9532286995509</v>
      </c>
      <c r="AE13" s="18">
        <v>9532.3599254843502</v>
      </c>
      <c r="AF13" s="18">
        <v>9554.7057142857157</v>
      </c>
      <c r="AG13" s="18">
        <v>9577.0064688427301</v>
      </c>
      <c r="AH13" s="18">
        <v>9599.2594082840224</v>
      </c>
      <c r="AI13" s="18">
        <v>9621.4463663220085</v>
      </c>
      <c r="AJ13" s="18">
        <v>9643.595743740796</v>
      </c>
      <c r="AK13" s="18">
        <v>9665.6823529411758</v>
      </c>
      <c r="AL13" s="18">
        <v>9687.7296774193528</v>
      </c>
      <c r="AM13" s="18">
        <v>9709.7171156661789</v>
      </c>
      <c r="AN13" s="18">
        <v>9731.6638686131373</v>
      </c>
      <c r="AO13" s="18">
        <v>9753.5532944606421</v>
      </c>
      <c r="AP13" s="18">
        <v>9775.4009302325576</v>
      </c>
      <c r="AQ13" s="18">
        <v>9797.1934833091436</v>
      </c>
      <c r="AR13" s="18">
        <v>9818.9434298118667</v>
      </c>
    </row>
    <row r="14" spans="2:44" x14ac:dyDescent="0.35">
      <c r="K14" s="2">
        <v>12</v>
      </c>
      <c r="L14" s="3">
        <f t="shared" si="1"/>
        <v>1250</v>
      </c>
      <c r="M14" s="4">
        <f t="shared" si="2"/>
        <v>625</v>
      </c>
      <c r="N14" s="5">
        <f t="shared" si="3"/>
        <v>9000</v>
      </c>
      <c r="O14" s="5">
        <f t="shared" si="4"/>
        <v>2640</v>
      </c>
      <c r="P14" s="5">
        <f t="shared" si="5"/>
        <v>11640</v>
      </c>
      <c r="AA14" s="18">
        <f t="shared" si="6"/>
        <v>80</v>
      </c>
      <c r="AB14" s="18">
        <v>9524.7081570996979</v>
      </c>
      <c r="AC14" s="18">
        <v>9547.36626506024</v>
      </c>
      <c r="AD14" s="18">
        <v>9569.954887218044</v>
      </c>
      <c r="AE14" s="18">
        <v>9592.5049475262349</v>
      </c>
      <c r="AF14" s="18">
        <v>9614.9892215568852</v>
      </c>
      <c r="AG14" s="18">
        <v>9637.432835820895</v>
      </c>
      <c r="AH14" s="18">
        <v>9659.8140089418775</v>
      </c>
      <c r="AI14" s="18">
        <v>9682.1527488855863</v>
      </c>
      <c r="AJ14" s="18">
        <v>9704.4320474777451</v>
      </c>
      <c r="AK14" s="18">
        <v>9726.667455621302</v>
      </c>
      <c r="AL14" s="20">
        <v>9748.8566371681409</v>
      </c>
      <c r="AM14" s="18">
        <v>9770.9796759941091</v>
      </c>
      <c r="AN14" s="18">
        <v>9793.067841409691</v>
      </c>
      <c r="AO14" s="18">
        <v>9815.092082111436</v>
      </c>
      <c r="AP14" s="18">
        <v>9837.0807017543848</v>
      </c>
      <c r="AQ14" s="18">
        <v>9859.0072992700716</v>
      </c>
      <c r="AR14" s="18">
        <v>9880.8978165938861</v>
      </c>
    </row>
    <row r="15" spans="2:44" x14ac:dyDescent="0.35">
      <c r="K15" s="2">
        <v>13</v>
      </c>
      <c r="L15" s="3">
        <f t="shared" si="1"/>
        <v>1153.8461538461538</v>
      </c>
      <c r="M15" s="4">
        <f t="shared" si="2"/>
        <v>576.92307692307691</v>
      </c>
      <c r="N15" s="5">
        <f t="shared" si="3"/>
        <v>8307.6923076923067</v>
      </c>
      <c r="O15" s="5">
        <f t="shared" si="4"/>
        <v>2860</v>
      </c>
      <c r="P15" s="5">
        <f t="shared" si="5"/>
        <v>11167.692307692307</v>
      </c>
      <c r="AA15" s="18">
        <f t="shared" si="6"/>
        <v>81</v>
      </c>
      <c r="AB15" s="18">
        <v>9584.0540425531908</v>
      </c>
      <c r="AC15" s="18">
        <v>9606.8414112291357</v>
      </c>
      <c r="AD15" s="18">
        <v>9629.5825869894106</v>
      </c>
      <c r="AE15" s="18">
        <v>9652.2745248868778</v>
      </c>
      <c r="AF15" s="18">
        <v>9674.89734939759</v>
      </c>
      <c r="AG15" s="18">
        <v>9697.4823423423422</v>
      </c>
      <c r="AH15" s="18">
        <v>9720.0012143928034</v>
      </c>
      <c r="AI15" s="18">
        <v>9742.4808520179377</v>
      </c>
      <c r="AJ15" s="18">
        <v>9764.8970149253728</v>
      </c>
      <c r="AK15" s="18">
        <v>9787.2728571428579</v>
      </c>
      <c r="AL15" s="18">
        <v>9809.5875334323919</v>
      </c>
      <c r="AM15" s="18">
        <v>9831.8611111111113</v>
      </c>
      <c r="AN15" s="18">
        <v>9854.0755029585798</v>
      </c>
      <c r="AO15" s="18">
        <v>9876.248318584072</v>
      </c>
      <c r="AP15" s="18">
        <v>9898.3636082474222</v>
      </c>
      <c r="AQ15" s="18">
        <v>9920.4371365638763</v>
      </c>
      <c r="AR15" s="18">
        <v>9942.4544868035191</v>
      </c>
    </row>
    <row r="16" spans="2:44" x14ac:dyDescent="0.35">
      <c r="K16" s="2">
        <v>14</v>
      </c>
      <c r="L16" s="3">
        <f t="shared" si="1"/>
        <v>1071.4285714285713</v>
      </c>
      <c r="M16" s="4">
        <f t="shared" si="2"/>
        <v>535.71428571428567</v>
      </c>
      <c r="N16" s="5">
        <f t="shared" si="3"/>
        <v>7714.2857142857129</v>
      </c>
      <c r="O16" s="5">
        <f t="shared" si="4"/>
        <v>3080</v>
      </c>
      <c r="P16" s="5">
        <f t="shared" si="5"/>
        <v>10794.285714285714</v>
      </c>
      <c r="AA16" s="18">
        <f t="shared" si="6"/>
        <v>82</v>
      </c>
      <c r="AB16" s="18">
        <v>9643.0337614678901</v>
      </c>
      <c r="AC16" s="18">
        <v>9665.9610687022905</v>
      </c>
      <c r="AD16" s="18">
        <v>9688.8426484018273</v>
      </c>
      <c r="AE16" s="18">
        <v>9711.6631003039511</v>
      </c>
      <c r="AF16" s="18">
        <v>9734.4363636363632</v>
      </c>
      <c r="AG16" s="18">
        <v>9757.1612084592143</v>
      </c>
      <c r="AH16" s="18">
        <v>9779.8178280542998</v>
      </c>
      <c r="AI16" s="18">
        <v>9802.4368421052641</v>
      </c>
      <c r="AJ16" s="18">
        <v>9824.9899099099093</v>
      </c>
      <c r="AK16" s="18">
        <v>9847.5046706586836</v>
      </c>
      <c r="AL16" s="18">
        <v>9869.9554260089681</v>
      </c>
      <c r="AM16" s="18">
        <v>9892.3674813710877</v>
      </c>
      <c r="AN16" s="18">
        <v>9914.7171428571419</v>
      </c>
      <c r="AO16" s="18">
        <v>9937.0280118694354</v>
      </c>
      <c r="AP16" s="18">
        <v>9959.2777777777774</v>
      </c>
      <c r="AQ16" s="18">
        <v>9981.4889512555383</v>
      </c>
      <c r="AR16" s="18">
        <v>10003.64</v>
      </c>
    </row>
    <row r="17" spans="11:44" x14ac:dyDescent="0.35">
      <c r="K17" s="2">
        <v>15</v>
      </c>
      <c r="L17" s="3">
        <f t="shared" si="1"/>
        <v>1000</v>
      </c>
      <c r="M17" s="4">
        <f t="shared" si="2"/>
        <v>500</v>
      </c>
      <c r="N17" s="5">
        <f t="shared" si="3"/>
        <v>7199.9999999999991</v>
      </c>
      <c r="O17" s="5">
        <f t="shared" si="4"/>
        <v>3300</v>
      </c>
      <c r="P17" s="5">
        <f t="shared" si="5"/>
        <v>10500</v>
      </c>
      <c r="AA17" s="18">
        <f t="shared" si="6"/>
        <v>83</v>
      </c>
      <c r="AB17" s="18">
        <v>9701.6538461538457</v>
      </c>
      <c r="AC17" s="18">
        <v>9724.7211520737328</v>
      </c>
      <c r="AD17" s="18">
        <v>9747.7415467075043</v>
      </c>
      <c r="AE17" s="18">
        <v>9770.7011009174312</v>
      </c>
      <c r="AF17" s="18">
        <v>9793.6126829268287</v>
      </c>
      <c r="AG17" s="18">
        <v>9816.4758054711237</v>
      </c>
      <c r="AH17" s="18">
        <v>9839.2702124430944</v>
      </c>
      <c r="AI17" s="18">
        <v>9862.027034795763</v>
      </c>
      <c r="AJ17" s="18">
        <v>9884.7170392749249</v>
      </c>
      <c r="AK17" s="18">
        <v>9907.3691566265043</v>
      </c>
      <c r="AL17" s="18">
        <v>9929.9560150375946</v>
      </c>
      <c r="AM17" s="18">
        <v>9952.5049925037474</v>
      </c>
      <c r="AN17" s="18">
        <v>9974.9899401197599</v>
      </c>
      <c r="AO17" s="18">
        <v>9997.4373134328343</v>
      </c>
      <c r="AP17" s="18">
        <v>10019.821564828613</v>
      </c>
      <c r="AQ17" s="18">
        <v>10042.1688410104</v>
      </c>
      <c r="AR17" s="18">
        <v>10064.45359050445</v>
      </c>
    </row>
    <row r="18" spans="11:44" x14ac:dyDescent="0.35">
      <c r="K18" s="2">
        <v>16</v>
      </c>
      <c r="L18" s="3">
        <f t="shared" si="1"/>
        <v>937.5</v>
      </c>
      <c r="M18" s="4">
        <f t="shared" si="2"/>
        <v>468.75</v>
      </c>
      <c r="N18" s="5">
        <f t="shared" si="3"/>
        <v>6749.9999999999991</v>
      </c>
      <c r="O18" s="5">
        <f t="shared" si="4"/>
        <v>3520</v>
      </c>
      <c r="P18" s="5">
        <f t="shared" si="5"/>
        <v>10270</v>
      </c>
      <c r="AA18" s="18">
        <f t="shared" si="6"/>
        <v>84</v>
      </c>
      <c r="AB18" s="18">
        <v>9759.9209907120749</v>
      </c>
      <c r="AC18" s="18">
        <v>9783.1392592592601</v>
      </c>
      <c r="AD18" s="18">
        <v>9806.2859167950701</v>
      </c>
      <c r="AE18" s="18">
        <v>9829.3941013824879</v>
      </c>
      <c r="AF18" s="18">
        <v>9852.4328834355838</v>
      </c>
      <c r="AG18" s="18">
        <v>9875.4326605504575</v>
      </c>
      <c r="AH18" s="18">
        <v>9898.364885496183</v>
      </c>
      <c r="AI18" s="18">
        <v>9921.2578995433796</v>
      </c>
      <c r="AJ18" s="18">
        <v>9944.084863221884</v>
      </c>
      <c r="AK18" s="18">
        <v>9966.8727272727265</v>
      </c>
      <c r="AL18" s="18">
        <v>9989.5957034795756</v>
      </c>
      <c r="AM18" s="18">
        <v>10012.279999999999</v>
      </c>
      <c r="AN18" s="18">
        <v>10034.900240963856</v>
      </c>
      <c r="AO18" s="18">
        <v>10057.482522522521</v>
      </c>
      <c r="AP18" s="18">
        <v>10080.001259370314</v>
      </c>
      <c r="AQ18" s="18">
        <v>10102.483049327353</v>
      </c>
      <c r="AR18" s="18">
        <v>10124.901492537312</v>
      </c>
    </row>
    <row r="19" spans="11:44" x14ac:dyDescent="0.35">
      <c r="K19" s="2">
        <v>17</v>
      </c>
      <c r="L19" s="3">
        <f t="shared" si="1"/>
        <v>882.35294117647061</v>
      </c>
      <c r="M19" s="4">
        <f t="shared" si="2"/>
        <v>441.1764705882353</v>
      </c>
      <c r="N19" s="5">
        <f t="shared" si="3"/>
        <v>6352.9411764705874</v>
      </c>
      <c r="O19" s="5">
        <f t="shared" si="4"/>
        <v>3740</v>
      </c>
      <c r="P19" s="5">
        <f t="shared" si="5"/>
        <v>10092.941176470587</v>
      </c>
      <c r="AA19" s="18">
        <f t="shared" si="6"/>
        <v>85</v>
      </c>
      <c r="AB19" s="18">
        <v>9817.8420560747654</v>
      </c>
      <c r="AC19" s="18">
        <v>9841.1962732919237</v>
      </c>
      <c r="AD19" s="18">
        <v>9864.4825581395344</v>
      </c>
      <c r="AE19" s="18">
        <v>9887.7261978361676</v>
      </c>
      <c r="AF19" s="18">
        <v>9910.9037037037033</v>
      </c>
      <c r="AG19" s="18">
        <v>9934.038461538461</v>
      </c>
      <c r="AH19" s="18">
        <v>9957.1085253456222</v>
      </c>
      <c r="AI19" s="18">
        <v>9980.136064318529</v>
      </c>
      <c r="AJ19" s="18">
        <v>10003.099999999999</v>
      </c>
      <c r="AK19" s="18">
        <v>10026.021951219511</v>
      </c>
      <c r="AL19" s="18">
        <v>10048.881050228309</v>
      </c>
      <c r="AM19" s="18">
        <v>10071.699013657057</v>
      </c>
      <c r="AN19" s="18">
        <v>10094.454545454544</v>
      </c>
      <c r="AO19" s="18">
        <v>10117.170090634441</v>
      </c>
      <c r="AP19" s="18">
        <v>10139.823303167421</v>
      </c>
      <c r="AQ19" s="18">
        <v>10162.437969924813</v>
      </c>
      <c r="AR19" s="18">
        <v>10184.99009009009</v>
      </c>
    </row>
    <row r="20" spans="11:44" x14ac:dyDescent="0.35">
      <c r="K20" s="2">
        <v>18</v>
      </c>
      <c r="L20" s="3">
        <f t="shared" si="1"/>
        <v>833.33333333333337</v>
      </c>
      <c r="M20" s="4">
        <f t="shared" si="2"/>
        <v>416.66666666666669</v>
      </c>
      <c r="N20" s="5">
        <f t="shared" si="3"/>
        <v>6000</v>
      </c>
      <c r="O20" s="5">
        <f t="shared" si="4"/>
        <v>3960</v>
      </c>
      <c r="P20" s="5">
        <f t="shared" si="5"/>
        <v>9960</v>
      </c>
      <c r="AA20" s="18">
        <f>AA19+1</f>
        <v>86</v>
      </c>
      <c r="AB20" s="18">
        <v>9875.4240752351106</v>
      </c>
      <c r="AC20" s="18">
        <v>9898.9124999999985</v>
      </c>
      <c r="AD20" s="18">
        <v>9922.3384399375973</v>
      </c>
      <c r="AE20" s="18">
        <v>9945.7158009331251</v>
      </c>
      <c r="AF20" s="18">
        <v>9969.0320496894419</v>
      </c>
      <c r="AG20" s="18">
        <v>9992.3000619195045</v>
      </c>
      <c r="AH20" s="18">
        <v>10015.507975270481</v>
      </c>
      <c r="AI20" s="18">
        <v>10038.668320493067</v>
      </c>
      <c r="AJ20" s="18">
        <v>10061.76923076923</v>
      </c>
      <c r="AK20" s="18">
        <v>10084.823558282209</v>
      </c>
      <c r="AL20" s="18">
        <v>10107.818774885145</v>
      </c>
      <c r="AM20" s="18">
        <v>10130.768702290075</v>
      </c>
      <c r="AN20" s="18">
        <v>10153.659512195121</v>
      </c>
      <c r="AO20" s="18">
        <v>10176.506626139817</v>
      </c>
      <c r="AP20" s="18">
        <v>10199.294294385432</v>
      </c>
      <c r="AQ20" s="18">
        <v>10222.04015128593</v>
      </c>
      <c r="AR20" s="18">
        <v>10244.72592145015</v>
      </c>
    </row>
    <row r="21" spans="11:44" x14ac:dyDescent="0.35">
      <c r="K21" s="2">
        <v>19</v>
      </c>
      <c r="L21" s="3">
        <f t="shared" si="1"/>
        <v>789.47368421052636</v>
      </c>
      <c r="M21" s="4">
        <f t="shared" si="2"/>
        <v>394.73684210526318</v>
      </c>
      <c r="N21" s="5">
        <f t="shared" si="3"/>
        <v>5684.2105263157891</v>
      </c>
      <c r="O21" s="5">
        <f t="shared" si="4"/>
        <v>4180</v>
      </c>
      <c r="P21" s="5">
        <f t="shared" si="5"/>
        <v>9864.21052631579</v>
      </c>
      <c r="AA21" s="18">
        <f t="shared" si="6"/>
        <v>87</v>
      </c>
      <c r="AB21" s="18">
        <v>9932.6799212598416</v>
      </c>
      <c r="AC21" s="18">
        <v>9956.2950943396227</v>
      </c>
      <c r="AD21" s="18">
        <v>9979.8660188087779</v>
      </c>
      <c r="AE21" s="18">
        <v>10003.369999999999</v>
      </c>
      <c r="AF21" s="18">
        <v>10026.83031201248</v>
      </c>
      <c r="AG21" s="18">
        <v>10050.224485981307</v>
      </c>
      <c r="AH21" s="18">
        <v>10073.575900621119</v>
      </c>
      <c r="AI21" s="18">
        <v>10096.861627906976</v>
      </c>
      <c r="AJ21" s="18">
        <v>10120.105826893356</v>
      </c>
      <c r="AK21" s="18">
        <v>10143.284444444445</v>
      </c>
      <c r="AL21" s="18">
        <v>10166.423076923078</v>
      </c>
      <c r="AM21" s="18">
        <v>10189.495898617512</v>
      </c>
      <c r="AN21" s="18">
        <v>10212.530581929555</v>
      </c>
      <c r="AO21" s="18">
        <v>10235.49889908257</v>
      </c>
      <c r="AP21" s="18">
        <v>10258.431219512197</v>
      </c>
      <c r="AQ21" s="18">
        <v>10281.296301369865</v>
      </c>
      <c r="AR21" s="18">
        <v>10304.115683890577</v>
      </c>
    </row>
    <row r="22" spans="11:44" x14ac:dyDescent="0.35">
      <c r="K22" s="2">
        <v>20</v>
      </c>
      <c r="L22" s="3">
        <f t="shared" si="1"/>
        <v>750</v>
      </c>
      <c r="M22" s="4">
        <f t="shared" si="2"/>
        <v>375</v>
      </c>
      <c r="N22" s="5">
        <f t="shared" si="3"/>
        <v>5399.9999999999991</v>
      </c>
      <c r="O22" s="5">
        <f t="shared" si="4"/>
        <v>4400</v>
      </c>
      <c r="P22" s="5">
        <f t="shared" si="5"/>
        <v>9800</v>
      </c>
      <c r="AA22" s="18">
        <f t="shared" si="6"/>
        <v>88</v>
      </c>
      <c r="AB22" s="18">
        <v>9989.5960697305854</v>
      </c>
      <c r="AC22" s="18">
        <v>10013.36</v>
      </c>
      <c r="AD22" s="18">
        <v>10037.052870662461</v>
      </c>
      <c r="AE22" s="18">
        <v>10060.704905660377</v>
      </c>
      <c r="AF22" s="18">
        <v>10084.286467817896</v>
      </c>
      <c r="AG22" s="18">
        <v>10107.828356807513</v>
      </c>
      <c r="AH22" s="18">
        <v>10131.299999999999</v>
      </c>
      <c r="AI22" s="18">
        <v>10154.733457943927</v>
      </c>
      <c r="AJ22" s="18">
        <v>10178.096547433903</v>
      </c>
      <c r="AK22" s="18">
        <v>10201.423255813952</v>
      </c>
      <c r="AL22" s="18">
        <v>10224.679133126934</v>
      </c>
      <c r="AM22" s="18">
        <v>10247.887604327665</v>
      </c>
      <c r="AN22" s="18">
        <v>10271.050724191064</v>
      </c>
      <c r="AO22" s="18">
        <v>10294.153846153846</v>
      </c>
      <c r="AP22" s="18">
        <v>10317.214233128834</v>
      </c>
      <c r="AQ22" s="18">
        <v>10340.213292496172</v>
      </c>
      <c r="AR22" s="18">
        <v>10363.17251908397</v>
      </c>
    </row>
    <row r="23" spans="11:44" x14ac:dyDescent="0.35">
      <c r="K23" s="2">
        <v>21</v>
      </c>
      <c r="L23" s="3">
        <f t="shared" si="1"/>
        <v>714.28571428571433</v>
      </c>
      <c r="M23" s="4">
        <f t="shared" si="2"/>
        <v>357.14285714285717</v>
      </c>
      <c r="N23" s="5">
        <f t="shared" si="3"/>
        <v>5142.8571428571431</v>
      </c>
      <c r="O23" s="5">
        <f t="shared" si="4"/>
        <v>4620</v>
      </c>
      <c r="P23" s="5">
        <f t="shared" si="5"/>
        <v>9762.8571428571431</v>
      </c>
      <c r="AA23" s="18">
        <f t="shared" si="6"/>
        <v>89</v>
      </c>
      <c r="AB23" s="18">
        <v>10046.203566878981</v>
      </c>
      <c r="AC23" s="18">
        <v>10070.086502384736</v>
      </c>
      <c r="AD23" s="18">
        <v>10093.929651347067</v>
      </c>
      <c r="AE23" s="18">
        <v>10117.699746835442</v>
      </c>
      <c r="AF23" s="18">
        <v>10141.431482649841</v>
      </c>
      <c r="AG23" s="18">
        <v>10165.090157480314</v>
      </c>
      <c r="AH23" s="18">
        <v>10188.69962264151</v>
      </c>
      <c r="AI23" s="18">
        <v>10212.260877742947</v>
      </c>
      <c r="AJ23" s="18">
        <v>10235.760892018778</v>
      </c>
      <c r="AK23" s="18">
        <v>10259.214992199688</v>
      </c>
      <c r="AL23" s="18">
        <v>10282.606915887851</v>
      </c>
      <c r="AM23" s="18">
        <v>10305.955527950311</v>
      </c>
      <c r="AN23" s="18">
        <v>10329.240697674417</v>
      </c>
      <c r="AO23" s="18">
        <v>10352.48545595054</v>
      </c>
      <c r="AP23" s="18">
        <v>10375.665185185186</v>
      </c>
      <c r="AQ23" s="18">
        <v>10398.807692307691</v>
      </c>
      <c r="AR23" s="18">
        <v>10421.883271889401</v>
      </c>
    </row>
    <row r="24" spans="11:44" x14ac:dyDescent="0.35">
      <c r="K24" s="10">
        <v>22</v>
      </c>
      <c r="L24" s="11">
        <f t="shared" si="1"/>
        <v>681.81818181818187</v>
      </c>
      <c r="M24" s="12">
        <f t="shared" si="2"/>
        <v>340.90909090909093</v>
      </c>
      <c r="N24" s="13">
        <f t="shared" si="3"/>
        <v>4909.090909090909</v>
      </c>
      <c r="O24" s="13">
        <f t="shared" si="4"/>
        <v>4840</v>
      </c>
      <c r="P24" s="13">
        <f t="shared" si="5"/>
        <v>9749.0909090909081</v>
      </c>
      <c r="AA24" s="18">
        <f t="shared" si="6"/>
        <v>90</v>
      </c>
      <c r="AB24" s="18">
        <v>10102.476923076923</v>
      </c>
      <c r="AC24" s="18">
        <v>10126.510543130989</v>
      </c>
      <c r="AD24" s="18">
        <v>10150.47033492823</v>
      </c>
      <c r="AE24" s="18">
        <v>10174.391255961844</v>
      </c>
      <c r="AF24" s="18">
        <v>10198.238095238095</v>
      </c>
      <c r="AG24" s="18">
        <v>10222.03502377179</v>
      </c>
      <c r="AH24" s="18">
        <v>10245.783412322275</v>
      </c>
      <c r="AI24" s="18">
        <v>10269.469400630915</v>
      </c>
      <c r="AJ24" s="18">
        <v>10293.109433962265</v>
      </c>
      <c r="AK24" s="18">
        <v>10316.685871271586</v>
      </c>
      <c r="AL24" s="18">
        <v>10340.219248826292</v>
      </c>
      <c r="AM24" s="18">
        <v>10363.6875</v>
      </c>
      <c r="AN24" s="18">
        <v>10387.115887850468</v>
      </c>
      <c r="AO24" s="18">
        <v>10410.47729393468</v>
      </c>
      <c r="AP24" s="18">
        <v>10433.802325581395</v>
      </c>
      <c r="AQ24" s="18">
        <v>10457.058204334364</v>
      </c>
      <c r="AR24" s="18">
        <v>10480.267233384853</v>
      </c>
    </row>
    <row r="25" spans="11:44" x14ac:dyDescent="0.35">
      <c r="K25" s="2">
        <v>23</v>
      </c>
      <c r="L25" s="3">
        <f t="shared" si="1"/>
        <v>652.17391304347825</v>
      </c>
      <c r="M25" s="4">
        <f t="shared" si="2"/>
        <v>326.08695652173913</v>
      </c>
      <c r="N25" s="5">
        <f t="shared" si="3"/>
        <v>4695.652173913043</v>
      </c>
      <c r="O25" s="5">
        <f t="shared" si="4"/>
        <v>5060</v>
      </c>
      <c r="P25" s="5">
        <f t="shared" si="5"/>
        <v>9755.652173913044</v>
      </c>
    </row>
    <row r="26" spans="11:44" x14ac:dyDescent="0.35">
      <c r="K26" s="2">
        <v>24</v>
      </c>
      <c r="L26" s="3">
        <f t="shared" si="1"/>
        <v>625</v>
      </c>
      <c r="M26" s="4">
        <f t="shared" si="2"/>
        <v>312.5</v>
      </c>
      <c r="N26" s="5">
        <f t="shared" si="3"/>
        <v>4500</v>
      </c>
      <c r="O26" s="5">
        <f t="shared" si="4"/>
        <v>5280</v>
      </c>
      <c r="P26" s="5">
        <f t="shared" si="5"/>
        <v>9780</v>
      </c>
    </row>
    <row r="27" spans="11:44" x14ac:dyDescent="0.35">
      <c r="K27" s="2">
        <v>25</v>
      </c>
      <c r="L27" s="3">
        <f t="shared" si="1"/>
        <v>600</v>
      </c>
      <c r="M27" s="4">
        <f t="shared" si="2"/>
        <v>300</v>
      </c>
      <c r="N27" s="5">
        <f t="shared" si="3"/>
        <v>4320</v>
      </c>
      <c r="O27" s="5">
        <f t="shared" si="4"/>
        <v>5500</v>
      </c>
      <c r="P27" s="5">
        <f t="shared" si="5"/>
        <v>9820</v>
      </c>
    </row>
    <row r="28" spans="11:44" x14ac:dyDescent="0.35">
      <c r="K28" s="2">
        <v>26</v>
      </c>
      <c r="L28" s="3">
        <f t="shared" si="1"/>
        <v>576.92307692307691</v>
      </c>
      <c r="M28" s="4">
        <f t="shared" si="2"/>
        <v>288.46153846153845</v>
      </c>
      <c r="N28" s="5">
        <f t="shared" si="3"/>
        <v>4153.8461538461534</v>
      </c>
      <c r="O28" s="5">
        <f t="shared" si="4"/>
        <v>5720</v>
      </c>
      <c r="P28" s="5">
        <f t="shared" si="5"/>
        <v>9873.8461538461524</v>
      </c>
    </row>
    <row r="29" spans="11:44" x14ac:dyDescent="0.35">
      <c r="K29" s="2">
        <v>27</v>
      </c>
      <c r="L29" s="3">
        <f t="shared" si="1"/>
        <v>555.55555555555554</v>
      </c>
      <c r="M29" s="4">
        <f t="shared" si="2"/>
        <v>277.77777777777777</v>
      </c>
      <c r="N29" s="5">
        <f t="shared" si="3"/>
        <v>3999.9999999999995</v>
      </c>
      <c r="O29" s="5">
        <f t="shared" si="4"/>
        <v>5940</v>
      </c>
      <c r="P29" s="5">
        <f t="shared" si="5"/>
        <v>9940</v>
      </c>
    </row>
    <row r="30" spans="11:44" x14ac:dyDescent="0.35">
      <c r="K30" s="2">
        <v>28</v>
      </c>
      <c r="L30" s="3">
        <f t="shared" si="1"/>
        <v>535.71428571428567</v>
      </c>
      <c r="M30" s="4">
        <f t="shared" si="2"/>
        <v>267.85714285714283</v>
      </c>
      <c r="N30" s="5">
        <f t="shared" si="3"/>
        <v>3857.1428571428564</v>
      </c>
      <c r="O30" s="5">
        <f t="shared" si="4"/>
        <v>6160</v>
      </c>
      <c r="P30" s="5">
        <f t="shared" si="5"/>
        <v>10017.142857142857</v>
      </c>
    </row>
    <row r="31" spans="11:44" x14ac:dyDescent="0.35">
      <c r="K31" s="2">
        <v>29</v>
      </c>
      <c r="L31" s="3">
        <f t="shared" si="1"/>
        <v>517.24137931034488</v>
      </c>
      <c r="M31" s="4">
        <f t="shared" si="2"/>
        <v>258.62068965517244</v>
      </c>
      <c r="N31" s="5">
        <f t="shared" si="3"/>
        <v>3724.1379310344828</v>
      </c>
      <c r="O31" s="5">
        <f t="shared" si="4"/>
        <v>6380</v>
      </c>
      <c r="P31" s="5">
        <f t="shared" si="5"/>
        <v>10104.137931034482</v>
      </c>
    </row>
    <row r="32" spans="11:44" x14ac:dyDescent="0.35">
      <c r="K32" s="2">
        <v>30</v>
      </c>
      <c r="L32" s="3">
        <f t="shared" si="1"/>
        <v>500</v>
      </c>
      <c r="M32" s="4">
        <f t="shared" si="2"/>
        <v>250</v>
      </c>
      <c r="N32" s="5">
        <f t="shared" si="3"/>
        <v>3599.9999999999995</v>
      </c>
      <c r="O32" s="5">
        <f t="shared" si="4"/>
        <v>6600</v>
      </c>
      <c r="P32" s="5">
        <f t="shared" si="5"/>
        <v>10200</v>
      </c>
    </row>
    <row r="33" spans="11:16" x14ac:dyDescent="0.35">
      <c r="K33" s="2">
        <v>31</v>
      </c>
      <c r="L33" s="3">
        <f t="shared" si="1"/>
        <v>483.87096774193549</v>
      </c>
      <c r="M33" s="4">
        <f t="shared" si="2"/>
        <v>241.93548387096774</v>
      </c>
      <c r="N33" s="5">
        <f t="shared" si="3"/>
        <v>3483.8709677419351</v>
      </c>
      <c r="O33" s="5">
        <f t="shared" si="4"/>
        <v>6820</v>
      </c>
      <c r="P33" s="5">
        <f t="shared" si="5"/>
        <v>10303.870967741936</v>
      </c>
    </row>
    <row r="34" spans="11:16" x14ac:dyDescent="0.35">
      <c r="K34" s="2">
        <v>32</v>
      </c>
      <c r="L34" s="3">
        <f t="shared" si="1"/>
        <v>468.75</v>
      </c>
      <c r="M34" s="4">
        <f t="shared" si="2"/>
        <v>234.375</v>
      </c>
      <c r="N34" s="5">
        <f t="shared" si="3"/>
        <v>3374.9999999999995</v>
      </c>
      <c r="O34" s="5">
        <f t="shared" si="4"/>
        <v>7040</v>
      </c>
      <c r="P34" s="5">
        <f t="shared" si="5"/>
        <v>10415</v>
      </c>
    </row>
    <row r="35" spans="11:16" x14ac:dyDescent="0.35">
      <c r="K35" s="2">
        <v>33</v>
      </c>
      <c r="L35" s="3">
        <f t="shared" si="1"/>
        <v>454.54545454545456</v>
      </c>
      <c r="M35" s="4">
        <f t="shared" si="2"/>
        <v>227.27272727272728</v>
      </c>
      <c r="N35" s="5">
        <f t="shared" si="3"/>
        <v>3272.7272727272725</v>
      </c>
      <c r="O35" s="5">
        <f t="shared" si="4"/>
        <v>7260</v>
      </c>
      <c r="P35" s="5">
        <f t="shared" si="5"/>
        <v>10532.727272727272</v>
      </c>
    </row>
    <row r="36" spans="11:16" x14ac:dyDescent="0.35">
      <c r="K36" s="2">
        <v>34</v>
      </c>
      <c r="L36" s="3">
        <f t="shared" si="1"/>
        <v>441.1764705882353</v>
      </c>
      <c r="M36" s="4">
        <f t="shared" si="2"/>
        <v>220.58823529411765</v>
      </c>
      <c r="N36" s="5">
        <f t="shared" si="3"/>
        <v>3176.4705882352937</v>
      </c>
      <c r="O36" s="5">
        <f t="shared" si="4"/>
        <v>7480</v>
      </c>
      <c r="P36" s="5">
        <f t="shared" si="5"/>
        <v>10656.470588235294</v>
      </c>
    </row>
    <row r="37" spans="11:16" x14ac:dyDescent="0.35">
      <c r="K37" s="2">
        <v>35</v>
      </c>
      <c r="L37" s="3">
        <f t="shared" si="1"/>
        <v>428.57142857142856</v>
      </c>
      <c r="M37" s="4">
        <f t="shared" si="2"/>
        <v>214.28571428571428</v>
      </c>
      <c r="N37" s="5">
        <f t="shared" si="3"/>
        <v>3085.7142857142853</v>
      </c>
      <c r="O37" s="5">
        <f t="shared" si="4"/>
        <v>7700</v>
      </c>
      <c r="P37" s="5">
        <f t="shared" si="5"/>
        <v>10785.714285714286</v>
      </c>
    </row>
    <row r="38" spans="11:16" x14ac:dyDescent="0.35">
      <c r="K38" s="2">
        <v>36</v>
      </c>
      <c r="L38" s="3">
        <f t="shared" si="1"/>
        <v>416.66666666666669</v>
      </c>
      <c r="M38" s="4">
        <f t="shared" si="2"/>
        <v>208.33333333333334</v>
      </c>
      <c r="N38" s="5">
        <f t="shared" si="3"/>
        <v>3000</v>
      </c>
      <c r="O38" s="5">
        <f t="shared" si="4"/>
        <v>7920</v>
      </c>
      <c r="P38" s="5">
        <f t="shared" si="5"/>
        <v>10920</v>
      </c>
    </row>
    <row r="39" spans="11:16" x14ac:dyDescent="0.35">
      <c r="K39" s="2">
        <v>37</v>
      </c>
      <c r="L39" s="3">
        <f t="shared" si="1"/>
        <v>405.40540540540542</v>
      </c>
      <c r="M39" s="4">
        <f t="shared" si="2"/>
        <v>202.70270270270271</v>
      </c>
      <c r="N39" s="5">
        <f t="shared" si="3"/>
        <v>2918.9189189189187</v>
      </c>
      <c r="O39" s="5">
        <f t="shared" si="4"/>
        <v>8140</v>
      </c>
      <c r="P39" s="5">
        <f t="shared" si="5"/>
        <v>11058.918918918918</v>
      </c>
    </row>
    <row r="40" spans="11:16" x14ac:dyDescent="0.35">
      <c r="K40" s="2">
        <v>38</v>
      </c>
      <c r="L40" s="3">
        <f t="shared" si="1"/>
        <v>394.73684210526318</v>
      </c>
      <c r="M40" s="4">
        <f t="shared" si="2"/>
        <v>197.36842105263159</v>
      </c>
      <c r="N40" s="5">
        <f t="shared" si="3"/>
        <v>2842.1052631578946</v>
      </c>
      <c r="O40" s="5">
        <f t="shared" si="4"/>
        <v>8360</v>
      </c>
      <c r="P40" s="5">
        <f t="shared" si="5"/>
        <v>11202.105263157895</v>
      </c>
    </row>
    <row r="41" spans="11:16" x14ac:dyDescent="0.35">
      <c r="K41" s="2">
        <v>39</v>
      </c>
      <c r="L41" s="3">
        <f t="shared" si="1"/>
        <v>384.61538461538464</v>
      </c>
      <c r="M41" s="4">
        <f t="shared" si="2"/>
        <v>192.30769230769232</v>
      </c>
      <c r="N41" s="5">
        <f t="shared" si="3"/>
        <v>2769.2307692307691</v>
      </c>
      <c r="O41" s="5">
        <f t="shared" si="4"/>
        <v>8580</v>
      </c>
      <c r="P41" s="5">
        <f t="shared" si="5"/>
        <v>11349.23076923077</v>
      </c>
    </row>
    <row r="42" spans="11:16" x14ac:dyDescent="0.35">
      <c r="K42" s="2">
        <v>40</v>
      </c>
      <c r="L42" s="3">
        <f t="shared" si="1"/>
        <v>375</v>
      </c>
      <c r="M42" s="4">
        <f t="shared" si="2"/>
        <v>187.5</v>
      </c>
      <c r="N42" s="5">
        <f t="shared" si="3"/>
        <v>2699.9999999999995</v>
      </c>
      <c r="O42" s="5">
        <f t="shared" si="4"/>
        <v>8800</v>
      </c>
      <c r="P42" s="5">
        <f t="shared" si="5"/>
        <v>11500</v>
      </c>
    </row>
    <row r="43" spans="11:16" x14ac:dyDescent="0.35">
      <c r="K43" s="2">
        <v>41</v>
      </c>
      <c r="L43" s="3">
        <f t="shared" si="1"/>
        <v>365.85365853658539</v>
      </c>
      <c r="M43" s="4">
        <f t="shared" si="2"/>
        <v>182.92682926829269</v>
      </c>
      <c r="N43" s="5">
        <f t="shared" si="3"/>
        <v>2634.1463414634145</v>
      </c>
      <c r="O43" s="5">
        <f t="shared" si="4"/>
        <v>9020</v>
      </c>
      <c r="P43" s="5">
        <f t="shared" si="5"/>
        <v>11654.146341463415</v>
      </c>
    </row>
    <row r="44" spans="11:16" x14ac:dyDescent="0.35">
      <c r="K44" s="2">
        <v>42</v>
      </c>
      <c r="L44" s="3">
        <f t="shared" si="1"/>
        <v>357.14285714285717</v>
      </c>
      <c r="M44" s="4">
        <f t="shared" si="2"/>
        <v>178.57142857142858</v>
      </c>
      <c r="N44" s="5">
        <f t="shared" si="3"/>
        <v>2571.4285714285716</v>
      </c>
      <c r="O44" s="5">
        <f t="shared" si="4"/>
        <v>9240</v>
      </c>
      <c r="P44" s="5">
        <f t="shared" si="5"/>
        <v>11811.428571428572</v>
      </c>
    </row>
    <row r="45" spans="11:16" x14ac:dyDescent="0.35">
      <c r="K45" s="2">
        <v>43</v>
      </c>
      <c r="L45" s="3">
        <f t="shared" si="1"/>
        <v>348.83720930232556</v>
      </c>
      <c r="M45" s="4">
        <f t="shared" si="2"/>
        <v>174.41860465116278</v>
      </c>
      <c r="N45" s="5">
        <f t="shared" si="3"/>
        <v>2511.6279069767438</v>
      </c>
      <c r="O45" s="5">
        <f t="shared" si="4"/>
        <v>9460</v>
      </c>
      <c r="P45" s="5">
        <f t="shared" si="5"/>
        <v>11971.627906976744</v>
      </c>
    </row>
    <row r="46" spans="11:16" x14ac:dyDescent="0.35">
      <c r="K46" s="2">
        <v>44</v>
      </c>
      <c r="L46" s="3">
        <f t="shared" si="1"/>
        <v>340.90909090909093</v>
      </c>
      <c r="M46" s="4">
        <f t="shared" si="2"/>
        <v>170.45454545454547</v>
      </c>
      <c r="N46" s="5">
        <f t="shared" si="3"/>
        <v>2454.5454545454545</v>
      </c>
      <c r="O46" s="5">
        <f t="shared" si="4"/>
        <v>9680</v>
      </c>
      <c r="P46" s="5">
        <f t="shared" si="5"/>
        <v>12134.545454545454</v>
      </c>
    </row>
    <row r="47" spans="11:16" x14ac:dyDescent="0.35">
      <c r="K47" s="2">
        <v>45</v>
      </c>
      <c r="L47" s="3">
        <f t="shared" si="1"/>
        <v>333.33333333333331</v>
      </c>
      <c r="M47" s="4">
        <f t="shared" si="2"/>
        <v>166.66666666666666</v>
      </c>
      <c r="N47" s="5">
        <f t="shared" si="3"/>
        <v>2399.9999999999995</v>
      </c>
      <c r="O47" s="5">
        <f t="shared" si="4"/>
        <v>9900</v>
      </c>
      <c r="P47" s="5">
        <f t="shared" si="5"/>
        <v>12300</v>
      </c>
    </row>
    <row r="48" spans="11:16" x14ac:dyDescent="0.35">
      <c r="K48" s="2">
        <v>46</v>
      </c>
      <c r="L48" s="3">
        <f t="shared" si="1"/>
        <v>326.08695652173913</v>
      </c>
      <c r="M48" s="4">
        <f t="shared" si="2"/>
        <v>163.04347826086956</v>
      </c>
      <c r="N48" s="5">
        <f t="shared" si="3"/>
        <v>2347.8260869565215</v>
      </c>
      <c r="O48" s="5">
        <f t="shared" si="4"/>
        <v>10120</v>
      </c>
      <c r="P48" s="5">
        <f t="shared" si="5"/>
        <v>12467.826086956522</v>
      </c>
    </row>
    <row r="49" spans="11:16" x14ac:dyDescent="0.35">
      <c r="K49" s="2">
        <v>47</v>
      </c>
      <c r="L49" s="3">
        <f t="shared" si="1"/>
        <v>319.14893617021278</v>
      </c>
      <c r="M49" s="4">
        <f t="shared" si="2"/>
        <v>159.57446808510639</v>
      </c>
      <c r="N49" s="5">
        <f t="shared" si="3"/>
        <v>2297.872340425532</v>
      </c>
      <c r="O49" s="5">
        <f t="shared" si="4"/>
        <v>10340</v>
      </c>
      <c r="P49" s="5">
        <f t="shared" si="5"/>
        <v>12637.872340425532</v>
      </c>
    </row>
    <row r="50" spans="11:16" x14ac:dyDescent="0.35">
      <c r="K50" s="2">
        <v>48</v>
      </c>
      <c r="L50" s="3">
        <f t="shared" si="1"/>
        <v>312.5</v>
      </c>
      <c r="M50" s="4">
        <f t="shared" si="2"/>
        <v>156.25</v>
      </c>
      <c r="N50" s="5">
        <f t="shared" si="3"/>
        <v>2250</v>
      </c>
      <c r="O50" s="5">
        <f t="shared" si="4"/>
        <v>10560</v>
      </c>
      <c r="P50" s="5">
        <f t="shared" si="5"/>
        <v>12810</v>
      </c>
    </row>
    <row r="51" spans="11:16" x14ac:dyDescent="0.35">
      <c r="K51" s="2">
        <v>49</v>
      </c>
      <c r="L51" s="3">
        <f t="shared" si="1"/>
        <v>306.12244897959181</v>
      </c>
      <c r="M51" s="4">
        <f t="shared" si="2"/>
        <v>153.0612244897959</v>
      </c>
      <c r="N51" s="5">
        <f t="shared" si="3"/>
        <v>2204.0816326530608</v>
      </c>
      <c r="O51" s="5">
        <f t="shared" si="4"/>
        <v>10780</v>
      </c>
      <c r="P51" s="5">
        <f t="shared" si="5"/>
        <v>12984.08163265306</v>
      </c>
    </row>
    <row r="52" spans="11:16" x14ac:dyDescent="0.35">
      <c r="K52" s="2">
        <v>50</v>
      </c>
      <c r="L52" s="3">
        <f t="shared" si="1"/>
        <v>300</v>
      </c>
      <c r="M52" s="4">
        <f t="shared" si="2"/>
        <v>150</v>
      </c>
      <c r="N52" s="5">
        <f t="shared" si="3"/>
        <v>2160</v>
      </c>
      <c r="O52" s="5">
        <f t="shared" si="4"/>
        <v>11000</v>
      </c>
      <c r="P52" s="5">
        <f t="shared" si="5"/>
        <v>13160</v>
      </c>
    </row>
    <row r="53" spans="11:16" x14ac:dyDescent="0.35">
      <c r="K53" s="2">
        <v>51</v>
      </c>
      <c r="L53" s="3">
        <f t="shared" si="1"/>
        <v>294.11764705882354</v>
      </c>
      <c r="M53" s="4">
        <f t="shared" si="2"/>
        <v>147.05882352941177</v>
      </c>
      <c r="N53" s="5">
        <f t="shared" si="3"/>
        <v>2117.6470588235293</v>
      </c>
      <c r="O53" s="5">
        <f t="shared" si="4"/>
        <v>11220</v>
      </c>
      <c r="P53" s="5">
        <f t="shared" si="5"/>
        <v>13337.64705882353</v>
      </c>
    </row>
    <row r="54" spans="11:16" x14ac:dyDescent="0.35">
      <c r="K54" s="2">
        <v>52</v>
      </c>
      <c r="L54" s="3">
        <f t="shared" si="1"/>
        <v>288.46153846153845</v>
      </c>
      <c r="M54" s="4">
        <f t="shared" si="2"/>
        <v>144.23076923076923</v>
      </c>
      <c r="N54" s="5">
        <f t="shared" si="3"/>
        <v>2076.9230769230767</v>
      </c>
      <c r="O54" s="5">
        <f t="shared" si="4"/>
        <v>11440</v>
      </c>
      <c r="P54" s="5">
        <f t="shared" si="5"/>
        <v>13516.923076923076</v>
      </c>
    </row>
    <row r="55" spans="11:16" x14ac:dyDescent="0.35">
      <c r="K55" s="2">
        <v>53</v>
      </c>
      <c r="L55" s="3">
        <f t="shared" si="1"/>
        <v>283.01886792452831</v>
      </c>
      <c r="M55" s="4">
        <f t="shared" si="2"/>
        <v>141.50943396226415</v>
      </c>
      <c r="N55" s="5">
        <f t="shared" si="3"/>
        <v>2037.7358490566037</v>
      </c>
      <c r="O55" s="5">
        <f t="shared" si="4"/>
        <v>11660</v>
      </c>
      <c r="P55" s="5">
        <f t="shared" si="5"/>
        <v>13697.735849056604</v>
      </c>
    </row>
    <row r="56" spans="11:16" x14ac:dyDescent="0.35">
      <c r="K56" s="2">
        <v>54</v>
      </c>
      <c r="L56" s="3">
        <f t="shared" si="1"/>
        <v>277.77777777777777</v>
      </c>
      <c r="M56" s="4">
        <f t="shared" si="2"/>
        <v>138.88888888888889</v>
      </c>
      <c r="N56" s="5">
        <f t="shared" si="3"/>
        <v>1999.9999999999998</v>
      </c>
      <c r="O56" s="5">
        <f t="shared" si="4"/>
        <v>11880</v>
      </c>
      <c r="P56" s="5">
        <f t="shared" si="5"/>
        <v>13880</v>
      </c>
    </row>
    <row r="57" spans="11:16" x14ac:dyDescent="0.35">
      <c r="K57" s="2">
        <v>55</v>
      </c>
      <c r="L57" s="3">
        <f t="shared" si="1"/>
        <v>272.72727272727275</v>
      </c>
      <c r="M57" s="4">
        <f t="shared" si="2"/>
        <v>136.36363636363637</v>
      </c>
      <c r="N57" s="5">
        <f t="shared" si="3"/>
        <v>1963.6363636363635</v>
      </c>
      <c r="O57" s="5">
        <f t="shared" si="4"/>
        <v>12100</v>
      </c>
      <c r="P57" s="5">
        <f t="shared" si="5"/>
        <v>14063.636363636364</v>
      </c>
    </row>
    <row r="58" spans="11:16" x14ac:dyDescent="0.35">
      <c r="K58" s="2">
        <v>56</v>
      </c>
      <c r="L58" s="3">
        <f t="shared" si="1"/>
        <v>267.85714285714283</v>
      </c>
      <c r="M58" s="4">
        <f t="shared" si="2"/>
        <v>133.92857142857142</v>
      </c>
      <c r="N58" s="5">
        <f t="shared" si="3"/>
        <v>1928.5714285714282</v>
      </c>
      <c r="O58" s="5">
        <f t="shared" si="4"/>
        <v>12320</v>
      </c>
      <c r="P58" s="5">
        <f t="shared" si="5"/>
        <v>14248.571428571428</v>
      </c>
    </row>
    <row r="59" spans="11:16" x14ac:dyDescent="0.35">
      <c r="K59" s="2">
        <v>57</v>
      </c>
      <c r="L59" s="3">
        <f t="shared" si="1"/>
        <v>263.15789473684208</v>
      </c>
      <c r="M59" s="4">
        <f t="shared" si="2"/>
        <v>131.57894736842104</v>
      </c>
      <c r="N59" s="5">
        <f t="shared" si="3"/>
        <v>1894.7368421052629</v>
      </c>
      <c r="O59" s="5">
        <f t="shared" si="4"/>
        <v>12540</v>
      </c>
      <c r="P59" s="5">
        <f t="shared" si="5"/>
        <v>14434.736842105263</v>
      </c>
    </row>
    <row r="60" spans="11:16" x14ac:dyDescent="0.35">
      <c r="K60" s="2">
        <v>58</v>
      </c>
      <c r="L60" s="3">
        <f t="shared" si="1"/>
        <v>258.62068965517244</v>
      </c>
      <c r="M60" s="4">
        <f t="shared" si="2"/>
        <v>129.31034482758622</v>
      </c>
      <c r="N60" s="5">
        <f t="shared" si="3"/>
        <v>1862.0689655172414</v>
      </c>
      <c r="O60" s="5">
        <f t="shared" si="4"/>
        <v>12760</v>
      </c>
      <c r="P60" s="5">
        <f t="shared" si="5"/>
        <v>14622.068965517241</v>
      </c>
    </row>
    <row r="61" spans="11:16" x14ac:dyDescent="0.35">
      <c r="K61" s="2">
        <v>59</v>
      </c>
      <c r="L61" s="3">
        <f t="shared" si="1"/>
        <v>254.23728813559322</v>
      </c>
      <c r="M61" s="4">
        <f t="shared" si="2"/>
        <v>127.11864406779661</v>
      </c>
      <c r="N61" s="5">
        <f t="shared" si="3"/>
        <v>1830.5084745762711</v>
      </c>
      <c r="O61" s="5">
        <f t="shared" si="4"/>
        <v>12980</v>
      </c>
      <c r="P61" s="5">
        <f t="shared" si="5"/>
        <v>14810.508474576271</v>
      </c>
    </row>
    <row r="62" spans="11:16" x14ac:dyDescent="0.35">
      <c r="K62" s="2">
        <v>60</v>
      </c>
      <c r="L62" s="3">
        <f t="shared" si="1"/>
        <v>250</v>
      </c>
      <c r="M62" s="4">
        <f t="shared" si="2"/>
        <v>125</v>
      </c>
      <c r="N62" s="5">
        <f t="shared" si="3"/>
        <v>1799.9999999999998</v>
      </c>
      <c r="O62" s="5">
        <f t="shared" si="4"/>
        <v>13200</v>
      </c>
      <c r="P62" s="5">
        <f t="shared" si="5"/>
        <v>15000</v>
      </c>
    </row>
    <row r="63" spans="11:16" x14ac:dyDescent="0.35">
      <c r="K63" s="2">
        <v>61</v>
      </c>
      <c r="L63" s="3">
        <f t="shared" si="1"/>
        <v>245.90163934426229</v>
      </c>
      <c r="M63" s="4">
        <f t="shared" si="2"/>
        <v>122.95081967213115</v>
      </c>
      <c r="N63" s="5">
        <f t="shared" si="3"/>
        <v>1770.4918032786884</v>
      </c>
      <c r="O63" s="5">
        <f t="shared" si="4"/>
        <v>13420</v>
      </c>
      <c r="P63" s="5">
        <f t="shared" si="5"/>
        <v>15190.491803278688</v>
      </c>
    </row>
    <row r="64" spans="11:16" x14ac:dyDescent="0.35">
      <c r="K64" s="2">
        <v>62</v>
      </c>
      <c r="L64" s="3">
        <f t="shared" si="1"/>
        <v>241.93548387096774</v>
      </c>
      <c r="M64" s="4">
        <f t="shared" si="2"/>
        <v>120.96774193548387</v>
      </c>
      <c r="N64" s="5">
        <f t="shared" si="3"/>
        <v>1741.9354838709676</v>
      </c>
      <c r="O64" s="5">
        <f t="shared" si="4"/>
        <v>13640</v>
      </c>
      <c r="P64" s="5">
        <f t="shared" si="5"/>
        <v>15381.935483870968</v>
      </c>
    </row>
    <row r="65" spans="11:16" x14ac:dyDescent="0.35">
      <c r="K65" s="2">
        <v>63</v>
      </c>
      <c r="L65" s="3">
        <f t="shared" si="1"/>
        <v>238.0952380952381</v>
      </c>
      <c r="M65" s="4">
        <f t="shared" si="2"/>
        <v>119.04761904761905</v>
      </c>
      <c r="N65" s="5">
        <f t="shared" si="3"/>
        <v>1714.2857142857142</v>
      </c>
      <c r="O65" s="5">
        <f t="shared" si="4"/>
        <v>13860</v>
      </c>
      <c r="P65" s="5">
        <f t="shared" si="5"/>
        <v>15574.285714285714</v>
      </c>
    </row>
    <row r="66" spans="11:16" x14ac:dyDescent="0.35">
      <c r="K66" s="2">
        <v>64</v>
      </c>
      <c r="L66" s="3">
        <f t="shared" si="1"/>
        <v>234.375</v>
      </c>
      <c r="M66" s="4">
        <f t="shared" si="2"/>
        <v>117.1875</v>
      </c>
      <c r="N66" s="5">
        <f t="shared" si="3"/>
        <v>1687.4999999999998</v>
      </c>
      <c r="O66" s="5">
        <f t="shared" si="4"/>
        <v>14080</v>
      </c>
      <c r="P66" s="5">
        <f t="shared" si="5"/>
        <v>15767.5</v>
      </c>
    </row>
    <row r="67" spans="11:16" x14ac:dyDescent="0.35">
      <c r="K67" s="2">
        <v>65</v>
      </c>
      <c r="L67" s="3">
        <f t="shared" si="1"/>
        <v>230.76923076923077</v>
      </c>
      <c r="M67" s="4">
        <f t="shared" si="2"/>
        <v>115.38461538461539</v>
      </c>
      <c r="N67" s="5">
        <f t="shared" si="3"/>
        <v>1661.5384615384614</v>
      </c>
      <c r="O67" s="5">
        <f t="shared" si="4"/>
        <v>14300</v>
      </c>
      <c r="P67" s="5">
        <f t="shared" si="5"/>
        <v>15961.538461538461</v>
      </c>
    </row>
    <row r="68" spans="11:16" x14ac:dyDescent="0.35">
      <c r="K68" s="2">
        <v>66</v>
      </c>
      <c r="L68" s="3">
        <f t="shared" ref="L68:L72" si="7">$H$3/K68</f>
        <v>227.27272727272728</v>
      </c>
      <c r="M68" s="4">
        <f t="shared" ref="M68:M72" si="8">L68/2</f>
        <v>113.63636363636364</v>
      </c>
      <c r="N68" s="5">
        <f t="shared" ref="N68:N72" si="9">M68*$H$8</f>
        <v>1636.3636363636363</v>
      </c>
      <c r="O68" s="5">
        <f t="shared" ref="O68:O72" si="10">$H$6*K68</f>
        <v>14520</v>
      </c>
      <c r="P68" s="5">
        <f t="shared" ref="P68:P72" si="11">N68+O68</f>
        <v>16156.363636363636</v>
      </c>
    </row>
    <row r="69" spans="11:16" x14ac:dyDescent="0.35">
      <c r="K69" s="2">
        <v>67</v>
      </c>
      <c r="L69" s="3">
        <f t="shared" si="7"/>
        <v>223.88059701492537</v>
      </c>
      <c r="M69" s="4">
        <f t="shared" si="8"/>
        <v>111.94029850746269</v>
      </c>
      <c r="N69" s="5">
        <f t="shared" si="9"/>
        <v>1611.9402985074626</v>
      </c>
      <c r="O69" s="5">
        <f t="shared" si="10"/>
        <v>14740</v>
      </c>
      <c r="P69" s="5">
        <f t="shared" si="11"/>
        <v>16351.940298507463</v>
      </c>
    </row>
    <row r="70" spans="11:16" x14ac:dyDescent="0.35">
      <c r="K70" s="2">
        <v>68</v>
      </c>
      <c r="L70" s="3">
        <f t="shared" si="7"/>
        <v>220.58823529411765</v>
      </c>
      <c r="M70" s="4">
        <f t="shared" si="8"/>
        <v>110.29411764705883</v>
      </c>
      <c r="N70" s="5">
        <f t="shared" si="9"/>
        <v>1588.2352941176468</v>
      </c>
      <c r="O70" s="5">
        <f t="shared" si="10"/>
        <v>14960</v>
      </c>
      <c r="P70" s="5">
        <f t="shared" si="11"/>
        <v>16548.235294117647</v>
      </c>
    </row>
    <row r="71" spans="11:16" x14ac:dyDescent="0.35">
      <c r="K71" s="2">
        <v>69</v>
      </c>
      <c r="L71" s="3">
        <f t="shared" si="7"/>
        <v>217.39130434782609</v>
      </c>
      <c r="M71" s="4">
        <f t="shared" si="8"/>
        <v>108.69565217391305</v>
      </c>
      <c r="N71" s="5">
        <f t="shared" si="9"/>
        <v>1565.2173913043478</v>
      </c>
      <c r="O71" s="5">
        <f t="shared" si="10"/>
        <v>15180</v>
      </c>
      <c r="P71" s="5">
        <f t="shared" si="11"/>
        <v>16745.217391304348</v>
      </c>
    </row>
    <row r="72" spans="11:16" x14ac:dyDescent="0.35">
      <c r="K72" s="2">
        <v>70</v>
      </c>
      <c r="L72" s="3">
        <f t="shared" si="7"/>
        <v>214.28571428571428</v>
      </c>
      <c r="M72" s="4">
        <f t="shared" si="8"/>
        <v>107.14285714285714</v>
      </c>
      <c r="N72" s="5">
        <f t="shared" si="9"/>
        <v>1542.8571428571427</v>
      </c>
      <c r="O72" s="5">
        <f t="shared" si="10"/>
        <v>15400</v>
      </c>
      <c r="P72" s="5">
        <f t="shared" si="11"/>
        <v>16942.857142857141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Pratap Reddy Pedaballi</dc:creator>
  <cp:lastModifiedBy>srilekha ganga</cp:lastModifiedBy>
  <dcterms:created xsi:type="dcterms:W3CDTF">2025-03-19T19:52:42Z</dcterms:created>
  <dcterms:modified xsi:type="dcterms:W3CDTF">2025-03-20T00:50:13Z</dcterms:modified>
</cp:coreProperties>
</file>